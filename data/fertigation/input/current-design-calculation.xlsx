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使用说明" state="visible" r:id="rId4"/>
    <sheet sheetId="2" name="01_当前设计基准" state="visible" r:id="rId5"/>
    <sheet sheetId="3" name="02_工况输入" state="visible" r:id="rId6"/>
    <sheet sheetId="4" name="03_管路水力" state="visible" r:id="rId7"/>
    <sheet sheetId="5" name="04_A路压力预算" state="visible" r:id="rId8"/>
    <sheet sheetId="6" name="05_B路与文丘里" state="visible" r:id="rId9"/>
    <sheet sheetId="7" name="06_肥液与桶" state="visible" r:id="rId10"/>
    <sheet sheetId="8" name="07_冲洗与均匀度" state="visible" r:id="rId11"/>
    <sheet sheetId="9" name="08_结果摘要" state="visible" r:id="rId12"/>
    <sheet sheetId="10" name="_meta" state="veryHidden" r:id="rId13"/>
  </sheets>
  <definedNames>
    <definedName name="记录信息">'02_工况输入'!$C$5</definedName>
    <definedName name="scenarioName">'02_工况输入'!$C$6</definedName>
    <definedName name="scenarioDate">'02_工况输入'!$C$7</definedName>
    <definedName name="operator">'02_工况输入'!$C$8</definedName>
    <definedName name="系统与清水参数">'02_工况输入'!$C$9</definedName>
    <definedName name="emitterCount">'02_工况输入'!$C$10</definedName>
    <definedName name="emitterFlowLph">'02_工况输入'!$C$11</definedName>
    <definedName name="densityKgM3">'02_工况输入'!$C$12</definedName>
    <definedName name="kinematicViscosityM2s">'02_工况输入'!$C$13</definedName>
    <definedName name="主管">'02_工况输入'!$C$14</definedName>
    <definedName name="mainInnerDiameterMm">'02_工况输入'!$C$15</definedName>
    <definedName name="mainOuterDiameterMm">'02_工况输入'!$C$16</definedName>
    <definedName name="mainLengthM">'02_工况输入'!$C$17</definedName>
    <definedName name="mainRoughnessMm">'02_工况输入'!$C$18</definedName>
    <definedName name="mainLocalK">'02_工况输入'!$C$19</definedName>
    <definedName name="代表性支管">'02_工况输入'!$C$20</definedName>
    <definedName name="lateralInnerDiameterMm">'02_工况输入'!$C$21</definedName>
    <definedName name="lateralOuterDiameterMm">'02_工况输入'!$C$22</definedName>
    <definedName name="lateralLengthM">'02_工况输入'!$C$23</definedName>
    <definedName name="lateralRoughnessMm">'02_工况输入'!$C$24</definedName>
    <definedName name="lateralLocalK">'02_工况输入'!$C$25</definedName>
    <definedName name="动态压力与滴头">'02_工况输入'!$C$26</definedName>
    <definedName name="sourceDynamicMpa">'02_工况输入'!$C$27</definedName>
    <definedName name="fieldP0Mpa">'02_工况输入'!$C$28</definedName>
    <definedName name="fieldP1Mpa">'02_工况输入'!$C$29</definedName>
    <definedName name="fieldP2Mpa">'02_工况输入'!$C$30</definedName>
    <definedName name="fieldP3Mpa">'02_工况输入'!$C$31</definedName>
    <definedName name="heightDifferenceM">'02_工况输入'!$C$32</definedName>
    <definedName name="downstreamLossMpa">'02_工况输入'!$C$33</definedName>
    <definedName name="emitterMinPressureMpa">'02_工况输入'!$C$34</definedName>
    <definedName name="emitterMaxPressureMpa">'02_工况输入'!$C$35</definedName>
    <definedName name="减压阀与公共部件">'02_工况输入'!$C$36</definedName>
    <definedName name="regulatorSetMpa">'02_工况输入'!$C$37</definedName>
    <definedName name="regulatorMinDifferentialMpa">'02_工况输入'!$C$38</definedName>
    <definedName name="backflowLossMpa">'02_工况输入'!$C$39</definedName>
    <definedName name="filterCleanLossMpa">'02_工况输入'!$C$40</definedName>
    <definedName name="filterDirtyLossMpa">'02_工况输入'!$C$41</definedName>
    <definedName name="A路部件">'02_工况输入'!$C$42</definedName>
    <definedName name="controllerALossMpa">'02_工况输入'!$C$43</definedName>
    <definedName name="checkALossMpa">'02_工况输入'!$C$44</definedName>
    <definedName name="fittingsALossMpa">'02_工况输入'!$C$45</definedName>
    <definedName name="B路部件">'02_工况输入'!$C$46</definedName>
    <definedName name="controllerBLossMpa">'02_工况输入'!$C$47</definedName>
    <definedName name="venturiLossMpa">'02_工况输入'!$C$48</definedName>
    <definedName name="checkBLossMpa">'02_工况输入'!$C$49</definedName>
    <definedName name="fittingsBLossMpa">'02_工况输入'!$C$50</definedName>
    <definedName name="肥液">'02_工况输入'!$C$51</definedName>
    <definedName name="waterConcentration">'02_工况输入'!$C$52</definedName>
    <definedName name="motherConcentration">'02_工况输入'!$C$53</definedName>
    <definedName name="targetConcentration">'02_工况输入'!$C$54</definedName>
    <definedName name="fertigationDurationMinutes">'02_工况输入'!$C$55</definedName>
    <definedName name="unusableResidualL">'02_工况输入'!$C$56</definedName>
    <definedName name="measuredSuctionLph">'02_工况输入'!$C$57</definedName>
    <definedName name="文丘里厂家工况">'02_工况输入'!$C$58</definedName>
    <definedName name="venturiModel">'02_工况输入'!$C$59</definedName>
    <definedName name="venturiSourceReference">'02_工况输入'!$C$60</definedName>
    <definedName name="venturiMaxPressureMpa">'02_工况输入'!$C$61</definedName>
    <definedName name="venturiMinMotiveLph">'02_工况输入'!$C$62</definedName>
    <definedName name="venturiMaxMotiveLph">'02_工况输入'!$C$63</definedName>
    <definedName name="venturiCurveP1Mpa">'02_工况输入'!$C$64</definedName>
    <definedName name="venturiCurveP2Mpa">'02_工况输入'!$C$65</definedName>
    <definedName name="venturiCurveMotiveLph">'02_工况输入'!$C$66</definedName>
    <definedName name="venturiCurveSuctionLph">'02_工况输入'!$C$67</definedName>
    <definedName name="venturiCurveConfirmed">'02_工况输入'!$C$68</definedName>
    <definedName name="冲洗与均匀度">'02_工况输入'!$C$69</definedName>
    <definedName name="actualFlushFlowLph">'02_工况输入'!$C$70</definedName>
    <definedName name="collectionMinutes">'02_工况输入'!$C$71</definedName>
    <definedName name="sampleVolumeMl1">'02_工况输入'!$C$72</definedName>
    <definedName name="sampleVolumeMl2">'02_工况输入'!$C$73</definedName>
    <definedName name="sampleVolumeMl3">'02_工况输入'!$C$74</definedName>
    <definedName name="sampleVolumeMl4">'02_工况输入'!$C$75</definedName>
    <definedName name="sampleVolumeMl5">'02_工况输入'!$C$76</definedName>
    <definedName name="sampleVolumeMl6">'02_工况输入'!$C$77</definedName>
    <definedName name="sampleVolumeMl7">'02_工况输入'!$C$78</definedName>
    <definedName name="sampleVolumeMl8">'02_工况输入'!$C$79</definedName>
    <definedName name="sampleVolumeMl9">'02_工况输入'!$C$80</definedName>
    <definedName name="sampleVolumeMl10">'02_工况输入'!$C$81</definedName>
    <definedName name="sampleVolumeMl11">'02_工况输入'!$C$82</definedName>
    <definedName name="sampleVolumeMl12">'02_工况输入'!$C$83</definedName>
    <definedName name="sampleVolumeMl13">'02_工况输入'!$C$84</definedName>
    <definedName name="sampleVolumeMl14">'02_工况输入'!$C$85</definedName>
    <definedName name="sampleVolumeMl15">'02_工况输入'!$C$86</definedName>
    <definedName name="sampleVolumeMl16">'02_工况输入'!$C$87</definedName>
  </definedNames>
  <calcPr calcId="171027" fullCalcOnLoad="1"/>
</workbook>
</file>

<file path=xl/sharedStrings.xml><?xml version="1.0" encoding="utf-8"?>
<sst xmlns="http://schemas.openxmlformats.org/spreadsheetml/2006/main" count="617" uniqueCount="392">
  <si>
    <t>双路水肥系统 · 独立工程计算工作簿</t>
  </si>
  <si>
    <t>Excel 2016兼容 · 无宏 · 无外部链接 · 黄色为现场输入 · 蓝色为设计同步值 · 灰色为公式</t>
  </si>
  <si>
    <t>项目</t>
  </si>
  <si>
    <t>当前值</t>
  </si>
  <si>
    <t>说明</t>
  </si>
  <si>
    <t>工作簿版本</t>
  </si>
  <si>
    <t>1.0.0</t>
  </si>
  <si>
    <t>生成器据此判断是否可安全同步</t>
  </si>
  <si>
    <t>设计版本</t>
  </si>
  <si>
    <t>2026-07-24-v3</t>
  </si>
  <si>
    <t>同步后自动更新</t>
  </si>
  <si>
    <t>计算模型</t>
  </si>
  <si>
    <t>单灌区、主管＋N条代表性支管</t>
  </si>
  <si>
    <t>不求解任意分支网络</t>
  </si>
  <si>
    <t>单位</t>
  </si>
  <si>
    <t>L/h、MPa、mm、m、kg/m³、m²/s</t>
  </si>
  <si>
    <t>所有输入使用固定单位</t>
  </si>
  <si>
    <t>边界</t>
  </si>
  <si>
    <t>计算结果不等于工程验收</t>
  </si>
  <si>
    <t>缺少厂家曲线或动态压力时保持待确认</t>
  </si>
  <si>
    <t>工况</t>
  </si>
  <si>
    <t>4滴头低流量边界</t>
  </si>
  <si>
    <t>仅用于警示文丘里最低流量风险</t>
  </si>
  <si>
    <t>使用顺序</t>
  </si>
  <si>
    <t>1</t>
  </si>
  <si>
    <t>先在“02_工况输入”填写黄色单元格。</t>
  </si>
  <si>
    <t>2</t>
  </si>
  <si>
    <t>A路、B路分别记录运行时动态压力；P1和P2只在B路稳定运行时读取。</t>
  </si>
  <si>
    <t>3</t>
  </si>
  <si>
    <t>文丘里只有在Q驱动、P1、P2和厂家同一工况曲线均满足时才可判为适用。</t>
  </si>
  <si>
    <t>4</t>
  </si>
  <si>
    <t>冲洗时间由管内容积和实测流量计算，最终停止仍以末端电导率或水质恢复为准。</t>
  </si>
  <si>
    <t>5</t>
  </si>
  <si>
    <t>“08_结果摘要”用于打印归档；黄色输入为空不会被自动编造。</t>
  </si>
  <si>
    <t>当前设计基准（自动同步）</t>
  </si>
  <si>
    <t>蓝色区域来自接口规格事实层。不要在本页修改候选接口或管径；请回到 system-interfaces.xlsx。</t>
  </si>
  <si>
    <t>设计项</t>
  </si>
  <si>
    <t>状态/说明</t>
  </si>
  <si>
    <t>来自接口规格工作簿</t>
  </si>
  <si>
    <t>核对日期</t>
  </si>
  <si>
    <t>2026-07-24</t>
  </si>
  <si>
    <t>事实层核对日期</t>
  </si>
  <si>
    <t>权威拓扑</t>
  </si>
  <si>
    <t>水源→倒流防止器→过滤器→双路控制器→A/B止回后合流→减压→主管</t>
  </si>
  <si>
    <t>B路完整串联文丘里</t>
  </si>
  <si>
    <t>主水路候选接口</t>
  </si>
  <si>
    <t>G1/2（俗称4分）</t>
  </si>
  <si>
    <t>内牙/外牙及密封待厂家确认</t>
  </si>
  <si>
    <t>测压口候选接口</t>
  </si>
  <si>
    <t>G1/4（俗称2分）</t>
  </si>
  <si>
    <t>P0–P3端口形式待厂家确认</t>
  </si>
  <si>
    <t>过滤等级</t>
  </si>
  <si>
    <t>120目</t>
  </si>
  <si>
    <t>厂家标称微米待确认</t>
  </si>
  <si>
    <t>主管</t>
  </si>
  <si>
    <t>9/12 mm</t>
  </si>
  <si>
    <t>内径/外径</t>
  </si>
  <si>
    <t>支管</t>
  </si>
  <si>
    <t>3/5 mm</t>
  </si>
  <si>
    <t>P0</t>
  </si>
  <si>
    <t>过滤器后、控制器前</t>
  </si>
  <si>
    <t>共用上游动态压力</t>
  </si>
  <si>
    <t>P1</t>
  </si>
  <si>
    <t>文丘里入口前</t>
  </si>
  <si>
    <t>B路入口压力</t>
  </si>
  <si>
    <t>P2</t>
  </si>
  <si>
    <t>文丘里出口后、B止回阀前</t>
  </si>
  <si>
    <t>与P1计算文丘里压差</t>
  </si>
  <si>
    <t>P3</t>
  </si>
  <si>
    <t>减压阀后、主管前</t>
  </si>
  <si>
    <t>验证滴头可用压力</t>
  </si>
  <si>
    <t>工况输入</t>
  </si>
  <si>
    <t>只修改黄色C列。空值表示待确认；不要用静态压力代替运行时动态压力。A列为稳定机器字段。</t>
  </si>
  <si>
    <t>机器字段</t>
  </si>
  <si>
    <t>输入项</t>
  </si>
  <si>
    <t>数值</t>
  </si>
  <si>
    <t>状态</t>
  </si>
  <si>
    <t>填写说明</t>
  </si>
  <si>
    <t>记录信息</t>
  </si>
  <si>
    <t>scenarioName</t>
  </si>
  <si>
    <t>工况名称</t>
  </si>
  <si>
    <t>边界算例</t>
  </si>
  <si>
    <t>可按现场日期复制另存</t>
  </si>
  <si>
    <t>scenarioDate</t>
  </si>
  <si>
    <t>记录日期</t>
  </si>
  <si>
    <t>待现场填写</t>
  </si>
  <si>
    <t>YYYY-MM-DD</t>
  </si>
  <si>
    <t>operator</t>
  </si>
  <si>
    <t>记录人</t>
  </si>
  <si>
    <t>系统与清水参数</t>
  </si>
  <si>
    <t>emitterCount</t>
  </si>
  <si>
    <t>同时工作滴头数量 N</t>
  </si>
  <si>
    <t>个</t>
  </si>
  <si>
    <t>只计同一时刻工作的滴头</t>
  </si>
  <si>
    <t>emitterFlowLph</t>
  </si>
  <si>
    <t>单滴头标称流量 q滴头</t>
  </si>
  <si>
    <t>L/h</t>
  </si>
  <si>
    <t>以拟购型号数据表为准</t>
  </si>
  <si>
    <t>densityKgM3</t>
  </si>
  <si>
    <t>流体密度 ρ</t>
  </si>
  <si>
    <t>kg/m³</t>
  </si>
  <si>
    <t>工程近似</t>
  </si>
  <si>
    <t>20℃清水</t>
  </si>
  <si>
    <t>kinematicViscosityM2s</t>
  </si>
  <si>
    <t>运动黏度 ν</t>
  </si>
  <si>
    <t>m²/s</t>
  </si>
  <si>
    <t>mainInnerDiameterMm</t>
  </si>
  <si>
    <t>主管实际内径</t>
  </si>
  <si>
    <t>mm</t>
  </si>
  <si>
    <t>候选设计</t>
  </si>
  <si>
    <t>来自9/12候选管</t>
  </si>
  <si>
    <t>mainOuterDiameterMm</t>
  </si>
  <si>
    <t>主管外径</t>
  </si>
  <si>
    <t>用于接头匹配</t>
  </si>
  <si>
    <t>mainLengthM</t>
  </si>
  <si>
    <t>主管长度</t>
  </si>
  <si>
    <t>m</t>
  </si>
  <si>
    <t>待按现场修改</t>
  </si>
  <si>
    <t>mainRoughnessMm</t>
  </si>
  <si>
    <t>主管绝对粗糙度 ε</t>
  </si>
  <si>
    <t>非层流时应采用材料数据</t>
  </si>
  <si>
    <t>mainLocalK</t>
  </si>
  <si>
    <t>主管局部阻力系数 ΣK</t>
  </si>
  <si>
    <t>确认忽略时明确填0</t>
  </si>
  <si>
    <t>代表性支管</t>
  </si>
  <si>
    <t>lateralInnerDiameterMm</t>
  </si>
  <si>
    <t>支管实际内径</t>
  </si>
  <si>
    <t>来自3/5候选管</t>
  </si>
  <si>
    <t>lateralOuterDiameterMm</t>
  </si>
  <si>
    <t>支管外径</t>
  </si>
  <si>
    <t>用于倒钩匹配</t>
  </si>
  <si>
    <t>lateralLengthM</t>
  </si>
  <si>
    <t>单条支管长度</t>
  </si>
  <si>
    <t>lateralRoughnessMm</t>
  </si>
  <si>
    <t>支管绝对粗糙度 ε</t>
  </si>
  <si>
    <t>lateralLocalK</t>
  </si>
  <si>
    <t>支管局部阻力系数 ΣK</t>
  </si>
  <si>
    <t>动态压力与滴头</t>
  </si>
  <si>
    <t>sourceDynamicMpa</t>
  </si>
  <si>
    <t>水源动态压力</t>
  </si>
  <si>
    <t>MPa</t>
  </si>
  <si>
    <t>待现场实测</t>
  </si>
  <si>
    <t>A/B运行时分别核对</t>
  </si>
  <si>
    <t>fieldP0Mpa</t>
  </si>
  <si>
    <t>P0 过滤器后、控制器前</t>
  </si>
  <si>
    <t>fieldP1Mpa</t>
  </si>
  <si>
    <t>P1 文丘里入口前</t>
  </si>
  <si>
    <t>仅B路</t>
  </si>
  <si>
    <t>fieldP2Mpa</t>
  </si>
  <si>
    <t>P2 文丘里出口后</t>
  </si>
  <si>
    <t>fieldP3Mpa</t>
  </si>
  <si>
    <t>P3 减压阀后</t>
  </si>
  <si>
    <t>heightDifferenceM</t>
  </si>
  <si>
    <t>滴头相对P3高差 Δz</t>
  </si>
  <si>
    <t>向上为正，向下为负</t>
  </si>
  <si>
    <t>downstreamLossMpa</t>
  </si>
  <si>
    <t>其他下游压损</t>
  </si>
  <si>
    <t>不重复计主管/支管</t>
  </si>
  <si>
    <t>emitterMinPressureMpa</t>
  </si>
  <si>
    <t>滴头最低工作压力</t>
  </si>
  <si>
    <t>待厂家确认</t>
  </si>
  <si>
    <t>emitterMaxPressureMpa</t>
  </si>
  <si>
    <t>滴头最高工作压力</t>
  </si>
  <si>
    <t>减压阀与公共部件</t>
  </si>
  <si>
    <t>regulatorSetMpa</t>
  </si>
  <si>
    <t>减压阀设定压力</t>
  </si>
  <si>
    <t>regulatorMinDifferentialMpa</t>
  </si>
  <si>
    <t>减压阀最小工作压差</t>
  </si>
  <si>
    <t>backflowLossMpa</t>
  </si>
  <si>
    <t>倒流防止器压损</t>
  </si>
  <si>
    <t>对应当前流量</t>
  </si>
  <si>
    <t>filterCleanLossMpa</t>
  </si>
  <si>
    <t>过滤器洁净压损</t>
  </si>
  <si>
    <t>filterDirtyLossMpa</t>
  </si>
  <si>
    <t>过滤器允许堵塞压损</t>
  </si>
  <si>
    <t>维护上限</t>
  </si>
  <si>
    <t>A路部件</t>
  </si>
  <si>
    <t>controllerALossMpa</t>
  </si>
  <si>
    <t>控制器A路压损</t>
  </si>
  <si>
    <t>checkALossMpa</t>
  </si>
  <si>
    <t>A路止回阀压损</t>
  </si>
  <si>
    <t>fittingsALossMpa</t>
  </si>
  <si>
    <t>A路其他管件压损</t>
  </si>
  <si>
    <t>B路部件</t>
  </si>
  <si>
    <t>controllerBLossMpa</t>
  </si>
  <si>
    <t>控制器B路压损</t>
  </si>
  <si>
    <t>venturiLossMpa</t>
  </si>
  <si>
    <t>文丘里当前工况压损</t>
  </si>
  <si>
    <t>同一曲线点或P1-P2</t>
  </si>
  <si>
    <t>checkBLossMpa</t>
  </si>
  <si>
    <t>B路止回阀压损</t>
  </si>
  <si>
    <t>fittingsBLossMpa</t>
  </si>
  <si>
    <t>B路其他管件压损</t>
  </si>
  <si>
    <t>肥液</t>
  </si>
  <si>
    <t>waterConcentration</t>
  </si>
  <si>
    <t>清水背景浓度 C水</t>
  </si>
  <si>
    <t>同单位</t>
  </si>
  <si>
    <t>可忽略时明确填0</t>
  </si>
  <si>
    <t>motherConcentration</t>
  </si>
  <si>
    <t>母液浓度 C母液</t>
  </si>
  <si>
    <t>待配制</t>
  </si>
  <si>
    <t>targetConcentration</t>
  </si>
  <si>
    <t>目标浓度 C目标</t>
  </si>
  <si>
    <t>待设计</t>
  </si>
  <si>
    <t>fertigationDurationMinutes</t>
  </si>
  <si>
    <t>B路运行时间</t>
  </si>
  <si>
    <t>min</t>
  </si>
  <si>
    <t>unusableResidualL</t>
  </si>
  <si>
    <t>不可吸残余量</t>
  </si>
  <si>
    <t>L</t>
  </si>
  <si>
    <t>measuredSuctionLph</t>
  </si>
  <si>
    <t>实测吸液流量</t>
  </si>
  <si>
    <t>文丘里厂家工况</t>
  </si>
  <si>
    <t>venturiModel</t>
  </si>
  <si>
    <t>型号</t>
  </si>
  <si>
    <t>venturiSourceReference</t>
  </si>
  <si>
    <t>资料来源/版本</t>
  </si>
  <si>
    <t>粘贴数据表链接或文件名</t>
  </si>
  <si>
    <t>venturiMaxPressureMpa</t>
  </si>
  <si>
    <t>最大工作压力</t>
  </si>
  <si>
    <t>venturiMinMotiveLph</t>
  </si>
  <si>
    <t>允许驱动流量下限</t>
  </si>
  <si>
    <t>venturiMaxMotiveLph</t>
  </si>
  <si>
    <t>允许驱动流量上限</t>
  </si>
  <si>
    <t>venturiCurveP1Mpa</t>
  </si>
  <si>
    <t>曲线工况P1</t>
  </si>
  <si>
    <t>venturiCurveP2Mpa</t>
  </si>
  <si>
    <t>曲线工况P2</t>
  </si>
  <si>
    <t>venturiCurveMotiveLph</t>
  </si>
  <si>
    <t>曲线工况驱动流量</t>
  </si>
  <si>
    <t>venturiCurveSuctionLph</t>
  </si>
  <si>
    <t>曲线工况吸液量</t>
  </si>
  <si>
    <t>venturiCurveConfirmed</t>
  </si>
  <si>
    <t>已核对同一厂家工况</t>
  </si>
  <si>
    <t>TRUE/FALSE</t>
  </si>
  <si>
    <t>只有同一曲线点全部核对后改TRUE</t>
  </si>
  <si>
    <t>冲洗与均匀度</t>
  </si>
  <si>
    <t>actualFlushFlowLph</t>
  </si>
  <si>
    <t>实测冲洗总流量</t>
  </si>
  <si>
    <t>collectionMinutes</t>
  </si>
  <si>
    <t>统一收集时间</t>
  </si>
  <si>
    <t>sampleVolumeMl1</t>
  </si>
  <si>
    <t>滴头采样1</t>
  </si>
  <si>
    <t>mL</t>
  </si>
  <si>
    <t>采样数需为4的倍数</t>
  </si>
  <si>
    <t>sampleVolumeMl2</t>
  </si>
  <si>
    <t>滴头采样2</t>
  </si>
  <si>
    <t>sampleVolumeMl3</t>
  </si>
  <si>
    <t>滴头采样3</t>
  </si>
  <si>
    <t>sampleVolumeMl4</t>
  </si>
  <si>
    <t>滴头采样4</t>
  </si>
  <si>
    <t>sampleVolumeMl5</t>
  </si>
  <si>
    <t>滴头采样5</t>
  </si>
  <si>
    <t>sampleVolumeMl6</t>
  </si>
  <si>
    <t>滴头采样6</t>
  </si>
  <si>
    <t>sampleVolumeMl7</t>
  </si>
  <si>
    <t>滴头采样7</t>
  </si>
  <si>
    <t>sampleVolumeMl8</t>
  </si>
  <si>
    <t>滴头采样8</t>
  </si>
  <si>
    <t>sampleVolumeMl9</t>
  </si>
  <si>
    <t>滴头采样9</t>
  </si>
  <si>
    <t>sampleVolumeMl10</t>
  </si>
  <si>
    <t>滴头采样10</t>
  </si>
  <si>
    <t>sampleVolumeMl11</t>
  </si>
  <si>
    <t>滴头采样11</t>
  </si>
  <si>
    <t>sampleVolumeMl12</t>
  </si>
  <si>
    <t>滴头采样12</t>
  </si>
  <si>
    <t>sampleVolumeMl13</t>
  </si>
  <si>
    <t>滴头采样13</t>
  </si>
  <si>
    <t>sampleVolumeMl14</t>
  </si>
  <si>
    <t>滴头采样14</t>
  </si>
  <si>
    <t>sampleVolumeMl15</t>
  </si>
  <si>
    <t>滴头采样15</t>
  </si>
  <si>
    <t>sampleVolumeMl16</t>
  </si>
  <si>
    <t>滴头采样16</t>
  </si>
  <si>
    <t>管路水力</t>
  </si>
  <si>
    <t>Darcy–Weisbach；层流f=64/Re；Re=2300–4000保持待确认；湍流采用Swamee–Jain。</t>
  </si>
  <si>
    <t>单位/说明</t>
  </si>
  <si>
    <t>设计流量</t>
  </si>
  <si>
    <t>流量</t>
  </si>
  <si>
    <t>m³/s</t>
  </si>
  <si>
    <t>实际内径</t>
  </si>
  <si>
    <t>长度</t>
  </si>
  <si>
    <t>绝对粗糙度</t>
  </si>
  <si>
    <t>局部阻力系数</t>
  </si>
  <si>
    <t>—</t>
  </si>
  <si>
    <t>截面积</t>
  </si>
  <si>
    <t>m²</t>
  </si>
  <si>
    <t>流速</t>
  </si>
  <si>
    <t>m/s</t>
  </si>
  <si>
    <t>雷诺数</t>
  </si>
  <si>
    <t>流态</t>
  </si>
  <si>
    <t>摩阻系数</t>
  </si>
  <si>
    <t>沿程压损</t>
  </si>
  <si>
    <t>局部压损</t>
  </si>
  <si>
    <t>总压损</t>
  </si>
  <si>
    <t>管内容积</t>
  </si>
  <si>
    <t>系统总管内容积</t>
  </si>
  <si>
    <t>主管＋N×代表性支管</t>
  </si>
  <si>
    <t>A路压力预算</t>
  </si>
  <si>
    <t>清水模式分别核对过滤器洁净与允许堵塞工况；结果只反映已录入压损。</t>
  </si>
  <si>
    <t>洁净工况</t>
  </si>
  <si>
    <t>允许堵塞</t>
  </si>
  <si>
    <t>单位/判断</t>
  </si>
  <si>
    <t>公共与A路压损</t>
  </si>
  <si>
    <t>所需水源压力</t>
  </si>
  <si>
    <t>动态压力余量</t>
  </si>
  <si>
    <t>压力预算状态</t>
  </si>
  <si>
    <t>余量≥0方可满足已录入条件</t>
  </si>
  <si>
    <t>缺少任一厂家压损时保持待确认</t>
  </si>
  <si>
    <t>堵塞压损达到维护上限时核对</t>
  </si>
  <si>
    <t>支路止回阀不代替水源倒流防护</t>
  </si>
  <si>
    <t>B路压力预算与文丘里判定</t>
  </si>
  <si>
    <t>接口尺寸不等于工作能力。必须同时满足驱动流量、P1、P2、压差和厂家同一工况曲线。</t>
  </si>
  <si>
    <t>实际/设计值</t>
  </si>
  <si>
    <t>厂家下限</t>
  </si>
  <si>
    <t>厂家上限/曲线</t>
  </si>
  <si>
    <t>状态或公式</t>
  </si>
  <si>
    <t>ΔP文丘里</t>
  </si>
  <si>
    <t>P1-P2</t>
  </si>
  <si>
    <t>Q设计</t>
  </si>
  <si>
    <t>目标吸液量</t>
  </si>
  <si>
    <t>Q驱动</t>
  </si>
  <si>
    <t>Q设计-q吸</t>
  </si>
  <si>
    <t>文丘里最大工作压力</t>
  </si>
  <si>
    <t>允许驱动流量</t>
  </si>
  <si>
    <t>厂家曲线P1</t>
  </si>
  <si>
    <t>厂家曲线P2</t>
  </si>
  <si>
    <t>厂家曲线驱动流量</t>
  </si>
  <si>
    <t>厂家曲线吸液量</t>
  </si>
  <si>
    <t>资料确认</t>
  </si>
  <si>
    <t>TRUE后仍需现场清水调试</t>
  </si>
  <si>
    <t>文丘里适用性</t>
  </si>
  <si>
    <t>缺数据=待确认；超范围=不适用</t>
  </si>
  <si>
    <t>肥液、吸液量与桶容量</t>
  </si>
  <si>
    <t>三种浓度必须使用同一单位；本表不判断肥料溶解度和材料兼容性。</t>
  </si>
  <si>
    <t>公式/说明</t>
  </si>
  <si>
    <t>N×q滴头</t>
  </si>
  <si>
    <t>清水背景浓度</t>
  </si>
  <si>
    <t>C水</t>
  </si>
  <si>
    <t>母液浓度</t>
  </si>
  <si>
    <t>C母液</t>
  </si>
  <si>
    <t>目标浓度</t>
  </si>
  <si>
    <t>C目标</t>
  </si>
  <si>
    <t>B路时间</t>
  </si>
  <si>
    <t>Q设计×(C目标-C水)/(C母液-C水)</t>
  </si>
  <si>
    <t>文丘里驱动流量</t>
  </si>
  <si>
    <t>本周期母液量</t>
  </si>
  <si>
    <t>q吸×t/60</t>
  </si>
  <si>
    <t>最低有效桶容量</t>
  </si>
  <si>
    <t>母液量+残余量</t>
  </si>
  <si>
    <t>冲洗时间与滴头均匀度</t>
  </si>
  <si>
    <t>理论冲洗时间仅代表一个管内容积；采样数必须为4的倍数，最终冲洗终点仍按末端水质确认。</t>
  </si>
  <si>
    <t>序号</t>
  </si>
  <si>
    <t>采样体积mL</t>
  </si>
  <si>
    <t>换算流量L/h</t>
  </si>
  <si>
    <t>低四分位辅助值</t>
  </si>
  <si>
    <t>输入/结果</t>
  </si>
  <si>
    <t>结果</t>
  </si>
  <si>
    <t>来自管路水力</t>
  </si>
  <si>
    <t>现场输入</t>
  </si>
  <si>
    <t>理论冲洗时间</t>
  </si>
  <si>
    <t>一个管内容积</t>
  </si>
  <si>
    <t>平均滴头流量</t>
  </si>
  <si>
    <t>最低四分位平均/DUlq</t>
  </si>
  <si>
    <t>%</t>
  </si>
  <si>
    <t>当前工况结果摘要</t>
  </si>
  <si>
    <t>本页适合打印归档。任何“已计算”只说明输入足够执行公式，不替代厂家选型和现场验收。</t>
  </si>
  <si>
    <t>指标</t>
  </si>
  <si>
    <t>下一步</t>
  </si>
  <si>
    <t>系统设计流量</t>
  </si>
  <si>
    <t>核对同时工作滴头数</t>
  </si>
  <si>
    <t>系统管内容积</t>
  </si>
  <si>
    <t>用于冲洗时间</t>
  </si>
  <si>
    <t>A路洁净压力余量</t>
  </si>
  <si>
    <t>运行时测水源动态压力</t>
  </si>
  <si>
    <t>A路堵塞压力余量</t>
  </si>
  <si>
    <t>达到过滤器维护上限前清洗</t>
  </si>
  <si>
    <t>文丘里实测压差</t>
  </si>
  <si>
    <t>B路稳定后读取P1、P2</t>
  </si>
  <si>
    <t>缺厂家曲线时不得采购判定</t>
  </si>
  <si>
    <t>另行考虑安全余量</t>
  </si>
  <si>
    <t>末端水质恢复后才停止</t>
  </si>
  <si>
    <t>DUlq</t>
  </si>
  <si>
    <t>按项目目标判断</t>
  </si>
  <si>
    <t>安全边界</t>
  </si>
  <si>
    <t>文丘里</t>
  </si>
  <si>
    <t>Q设计、P1、P2、压差、吸液量必须落入同一厂家工况；接口为4分不代表可用。</t>
  </si>
  <si>
    <t>首次施肥</t>
  </si>
  <si>
    <t>先用清水完成动态压力、反向窜流、总流量、吸液量和均匀度测试。</t>
  </si>
  <si>
    <t>fertigation-baseline:v1</t>
  </si>
  <si>
    <t>2ea3d8ee0caa9532f5befac4e7a5b6f1e5ecce705506ec21d202af4f61d1ddcb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</si>
</sst>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Microsoft YaHei"/>
    </font>
    <font>
      <color rgb="FF60768A"/>
      <sz val="10"/>
      <name val="Microsoft YaHei"/>
    </font>
    <font>
      <b/>
      <color rgb="FFFFFFFF"/>
      <sz val="10"/>
      <name val="Microsoft YaHei"/>
    </font>
    <font>
      <color rgb="FF1F3346"/>
      <sz val="9"/>
      <name val="Microsoft YaHei"/>
    </font>
    <font>
      <b/>
      <color rgb="FFFFFFFF"/>
      <sz val="11"/>
      <name val="Microsoft YaHei"/>
    </font>
    <font>
      <b/>
      <color rgb="FFEDF4F8"/>
      <sz val="6"/>
      <name val="Consolas"/>
    </font>
    <font>
      <b/>
      <color rgb="FF1F3346"/>
      <sz val="9"/>
      <name val="Microsoft YaHei"/>
    </font>
    <font>
      <color rgb="FFEDF4F8"/>
      <sz val="6"/>
      <name val="Consolas"/>
    </font>
    <font>
      <b/>
      <color rgb="FFFFFFFF"/>
      <sz val="12"/>
      <name val="Microsoft YaHei"/>
    </font>
    <font>
      <b/>
      <color rgb="FFFFFFFF"/>
      <sz val="9"/>
      <name val="Microsoft YaHei"/>
    </font>
  </fonts>
  <fills count="11">
    <fill>
      <patternFill patternType="none"/>
    </fill>
    <fill>
      <patternFill patternType="gray125"/>
    </fill>
    <fill>
      <patternFill patternType="solid">
        <fgColor rgb="FF123354"/>
      </patternFill>
    </fill>
    <fill>
      <patternFill patternType="solid">
        <fgColor rgb="FFEAF2F8"/>
      </patternFill>
    </fill>
    <fill>
      <patternFill patternType="solid">
        <fgColor rgb="FF1261A6"/>
      </patternFill>
    </fill>
    <fill>
      <patternFill patternType="solid">
        <fgColor rgb="FFDDEEFF"/>
      </patternFill>
    </fill>
    <fill>
      <patternFill patternType="solid">
        <fgColor rgb="FFDCEAF5"/>
      </patternFill>
    </fill>
    <fill>
      <patternFill patternType="solid">
        <fgColor rgb="FFFFF3C4"/>
      </patternFill>
    </fill>
    <fill>
      <patternFill patternType="solid">
        <fgColor rgb="FFEDF1F5"/>
      </patternFill>
    </fill>
    <fill>
      <patternFill patternType="solid">
        <fgColor rgb="FF15965A"/>
      </patternFill>
    </fill>
    <fill>
      <patternFill patternType="solid">
        <fgColor rgb="FFC84343"/>
      </patternFill>
    </fill>
  </fills>
  <borders count="4">
    <border>
      <left/>
      <right/>
      <top/>
      <bottom/>
      <diagonal/>
    </border>
    <border>
      <left style="thin">
        <color rgb="FFAFC4D6"/>
      </left>
      <right style="thin">
        <color rgb="FFAFC4D6"/>
      </right>
      <top style="thin">
        <color rgb="FFAFC4D6"/>
      </top>
      <bottom style="thin">
        <color rgb="FFAFC4D6"/>
      </bottom>
      <diagonal/>
    </border>
    <border>
      <left/>
      <right/>
      <top/>
      <bottom style="thin">
        <color rgb="FFDCE6EE"/>
      </bottom>
      <diagonal/>
    </border>
    <border>
      <left/>
      <right/>
      <top style="thin">
        <color rgb="FFDCE6EE"/>
      </top>
      <bottom style="thin">
        <color rgb="FFDCE6E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 applyProtection="1">
      <alignment horizontal="left" vertical="center"/>
    </xf>
    <xf numFmtId="0" fontId="2" fillId="3" borderId="0" xfId="0" applyFont="1" applyFill="1" applyAlignment="1" applyProtection="1">
      <alignment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vertical="center" wrapText="1"/>
    </xf>
    <xf numFmtId="0" fontId="4" fillId="0" borderId="3" xfId="0" applyFont="1" applyBorder="1" applyAlignment="1" applyProtection="1">
      <alignment vertical="center" wrapText="1"/>
    </xf>
    <xf numFmtId="0" fontId="5" fillId="4" borderId="0" xfId="0" applyFont="1" applyFill="1" applyProtection="1"/>
    <xf numFmtId="0" fontId="0" fillId="0" borderId="0" xfId="0" applyProtection="1"/>
    <xf numFmtId="0" fontId="4" fillId="5" borderId="2" xfId="0" applyFont="1" applyFill="1" applyBorder="1" applyAlignment="1" applyProtection="1">
      <alignment vertical="center" wrapText="1"/>
    </xf>
    <xf numFmtId="0" fontId="4" fillId="5" borderId="3" xfId="0" applyFont="1" applyFill="1" applyBorder="1" applyAlignment="1" applyProtection="1">
      <alignment vertical="center" wrapText="1"/>
    </xf>
    <xf numFmtId="0" fontId="6" fillId="6" borderId="2" xfId="0" applyFont="1" applyFill="1" applyBorder="1" applyAlignment="1" applyProtection="1">
      <alignment vertical="center" wrapText="1"/>
    </xf>
    <xf numFmtId="0" fontId="7" fillId="6" borderId="2" xfId="0" applyFont="1" applyFill="1" applyBorder="1" applyAlignment="1" applyProtection="1">
      <alignment vertical="center" wrapText="1"/>
    </xf>
    <xf numFmtId="164" fontId="7" fillId="7" borderId="2" xfId="0" applyNumberFormat="1" applyFont="1" applyFill="1" applyBorder="1" applyAlignment="1" applyProtection="1">
      <alignment vertical="center" wrapText="1"/>
      <protection locked="0"/>
    </xf>
    <xf numFmtId="0" fontId="8" fillId="0" borderId="3" xfId="0" applyFont="1" applyBorder="1" applyAlignment="1" applyProtection="1">
      <alignment vertical="center" wrapText="1"/>
    </xf>
    <xf numFmtId="49" fontId="4" fillId="7" borderId="3" xfId="0" applyNumberFormat="1" applyFont="1" applyFill="1" applyBorder="1" applyAlignment="1" applyProtection="1">
      <alignment vertical="center" wrapText="1"/>
      <protection locked="0"/>
    </xf>
    <xf numFmtId="0" fontId="6" fillId="6" borderId="3" xfId="0" applyFont="1" applyFill="1" applyBorder="1" applyAlignment="1" applyProtection="1">
      <alignment vertical="center" wrapText="1"/>
    </xf>
    <xf numFmtId="0" fontId="7" fillId="6" borderId="3" xfId="0" applyFont="1" applyFill="1" applyBorder="1" applyAlignment="1" applyProtection="1">
      <alignment vertical="center" wrapText="1"/>
    </xf>
    <xf numFmtId="164" fontId="7" fillId="7" borderId="3" xfId="0" applyNumberFormat="1" applyFont="1" applyFill="1" applyBorder="1" applyAlignment="1" applyProtection="1">
      <alignment vertical="center" wrapText="1"/>
      <protection locked="0"/>
    </xf>
    <xf numFmtId="1" fontId="4" fillId="7" borderId="3" xfId="0" applyNumberFormat="1" applyFont="1" applyFill="1" applyBorder="1" applyAlignment="1" applyProtection="1">
      <alignment vertical="center" wrapText="1"/>
      <protection locked="0"/>
    </xf>
    <xf numFmtId="164" fontId="4" fillId="7" borderId="3" xfId="0" applyNumberFormat="1" applyFont="1" applyFill="1" applyBorder="1" applyAlignment="1" applyProtection="1">
      <alignment vertical="center" wrapText="1"/>
      <protection locked="0"/>
    </xf>
    <xf numFmtId="0" fontId="4" fillId="7" borderId="3" xfId="0" applyFont="1" applyFill="1" applyBorder="1" applyAlignment="1" applyProtection="1">
      <alignment vertical="center" wrapText="1"/>
      <protection locked="0"/>
    </xf>
    <xf numFmtId="164" fontId="4" fillId="8" borderId="2" xfId="0" applyNumberFormat="1" applyFont="1" applyFill="1" applyBorder="1" applyAlignment="1" applyProtection="1">
      <alignment vertical="center" wrapText="1"/>
    </xf>
    <xf numFmtId="164" fontId="4" fillId="8" borderId="3" xfId="0" applyNumberFormat="1" applyFont="1" applyFill="1" applyBorder="1" applyAlignment="1" applyProtection="1">
      <alignment vertical="center" wrapText="1"/>
    </xf>
    <xf numFmtId="165" fontId="9" fillId="9" borderId="2" xfId="0" applyNumberFormat="1" applyFont="1" applyFill="1" applyBorder="1" applyAlignment="1" applyProtection="1">
      <alignment vertical="center" wrapText="1"/>
    </xf>
    <xf numFmtId="0" fontId="4" fillId="8" borderId="3" xfId="0" applyFont="1" applyFill="1" applyBorder="1" applyAlignment="1" applyProtection="1">
      <alignment vertical="center" wrapText="1"/>
    </xf>
    <xf numFmtId="165" fontId="4" fillId="8" borderId="2" xfId="0" applyNumberFormat="1" applyFont="1" applyFill="1" applyBorder="1" applyAlignment="1" applyProtection="1">
      <alignment vertical="center" wrapText="1"/>
    </xf>
    <xf numFmtId="165" fontId="4" fillId="8" borderId="3" xfId="0" applyNumberFormat="1" applyFont="1" applyFill="1" applyBorder="1" applyAlignment="1" applyProtection="1">
      <alignment vertical="center" wrapText="1"/>
    </xf>
    <xf numFmtId="0" fontId="4" fillId="8" borderId="2" xfId="0" applyFont="1" applyFill="1" applyBorder="1" applyAlignment="1" applyProtection="1">
      <alignment vertical="center" wrapText="1"/>
    </xf>
    <xf numFmtId="166" fontId="10" fillId="9" borderId="3" xfId="0" applyNumberFormat="1" applyFont="1" applyFill="1" applyBorder="1" applyAlignment="1" applyProtection="1">
      <alignment vertical="center" wrapText="1"/>
    </xf>
    <xf numFmtId="166" fontId="4" fillId="8" borderId="3" xfId="0" applyNumberFormat="1" applyFont="1" applyFill="1" applyBorder="1" applyAlignment="1" applyProtection="1">
      <alignment vertical="center" wrapText="1"/>
    </xf>
    <xf numFmtId="0" fontId="5" fillId="10" borderId="0" xfId="0" applyFont="1" applyFill="1" applyProtection="1"/>
  </cellXfs>
  <cellStyles count="1">
    <cellStyle name="Normal" xfId="0" builtinId="0"/>
  </cellStyles>
  <dxfs count="16">
    <dxf>
      <font>
        <b/>
        <color rgb="FF0A6B3A"/>
      </font>
      <fill>
        <patternFill patternType="solid">
          <bgColor rgb="FFDDF3E7"/>
        </patternFill>
      </fill>
    </dxf>
    <dxf>
      <font>
        <b/>
        <color rgb="FF8A4D00"/>
      </font>
      <fill>
        <patternFill patternType="solid">
          <bgColor rgb="FFFFE7C2"/>
        </patternFill>
      </fill>
    </dxf>
    <dxf>
      <font>
        <b/>
        <color rgb="FF7A5A00"/>
      </font>
      <fill>
        <patternFill patternType="solid">
          <bgColor rgb="FFFFF3C4"/>
        </patternFill>
      </fill>
    </dxf>
    <dxf>
      <font>
        <b/>
        <color rgb="FF9D2222"/>
      </font>
      <fill>
        <patternFill patternType="solid">
          <bgColor rgb="FFFADDDD"/>
        </patternFill>
      </fill>
    </dxf>
    <dxf>
      <font>
        <b/>
        <color rgb="FF0A6B3A"/>
      </font>
      <fill>
        <patternFill patternType="solid">
          <bgColor rgb="FFDDF3E7"/>
        </patternFill>
      </fill>
    </dxf>
    <dxf>
      <font>
        <b/>
        <color rgb="FF8A4D00"/>
      </font>
      <fill>
        <patternFill patternType="solid">
          <bgColor rgb="FFFFE7C2"/>
        </patternFill>
      </fill>
    </dxf>
    <dxf>
      <font>
        <b/>
        <color rgb="FF7A5A00"/>
      </font>
      <fill>
        <patternFill patternType="solid">
          <bgColor rgb="FFFFF3C4"/>
        </patternFill>
      </fill>
    </dxf>
    <dxf>
      <font>
        <b/>
        <color rgb="FF9D2222"/>
      </font>
      <fill>
        <patternFill patternType="solid">
          <bgColor rgb="FFFADDDD"/>
        </patternFill>
      </fill>
    </dxf>
    <dxf>
      <font>
        <b/>
        <color rgb="FF0A6B3A"/>
      </font>
      <fill>
        <patternFill patternType="solid">
          <bgColor rgb="FFDDF3E7"/>
        </patternFill>
      </fill>
    </dxf>
    <dxf>
      <font>
        <b/>
        <color rgb="FF8A4D00"/>
      </font>
      <fill>
        <patternFill patternType="solid">
          <bgColor rgb="FFFFE7C2"/>
        </patternFill>
      </fill>
    </dxf>
    <dxf>
      <font>
        <b/>
        <color rgb="FF7A5A00"/>
      </font>
      <fill>
        <patternFill patternType="solid">
          <bgColor rgb="FFFFF3C4"/>
        </patternFill>
      </fill>
    </dxf>
    <dxf>
      <font>
        <b/>
        <color rgb="FF9D2222"/>
      </font>
      <fill>
        <patternFill patternType="solid">
          <bgColor rgb="FFFADDDD"/>
        </patternFill>
      </fill>
    </dxf>
    <dxf>
      <font>
        <b/>
        <color rgb="FF0A6B3A"/>
      </font>
      <fill>
        <patternFill patternType="solid">
          <bgColor rgb="FFDDF3E7"/>
        </patternFill>
      </fill>
    </dxf>
    <dxf>
      <font>
        <b/>
        <color rgb="FF8A4D00"/>
      </font>
      <fill>
        <patternFill patternType="solid">
          <bgColor rgb="FFFFE7C2"/>
        </patternFill>
      </fill>
    </dxf>
    <dxf>
      <font>
        <b/>
        <color rgb="FF7A5A00"/>
      </font>
      <fill>
        <patternFill patternType="solid">
          <bgColor rgb="FFFFF3C4"/>
        </patternFill>
      </fill>
    </dxf>
    <dxf>
      <font>
        <b/>
        <color rgb="FF9D2222"/>
      </font>
      <fill>
        <patternFill patternType="solid">
          <bgColor rgb="FFFADD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 showGridLines="0" zoomScale="100" zoomScaleNormal="100"/>
  </sheetViews>
  <sheetFormatPr defaultRowHeight="15" outlineLevelRow="0" outlineLevelCol="0" x14ac:dyDescent="0"/>
  <cols>
    <col min="1" max="1" width="20" customWidth="1"/>
    <col min="2" max="2" width="52" customWidth="1"/>
    <col min="3" max="3" width="42" customWidth="1"/>
    <col min="4" max="8" width="10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0" customHeight="1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4" t="s">
        <v>6</v>
      </c>
      <c r="C5" s="4" t="s">
        <v>7</v>
      </c>
    </row>
    <row r="6" spans="1:3" x14ac:dyDescent="0.25">
      <c r="A6" s="5" t="s">
        <v>8</v>
      </c>
      <c r="B6" s="5" t="s">
        <v>9</v>
      </c>
      <c r="C6" s="5" t="s">
        <v>10</v>
      </c>
    </row>
    <row r="7" spans="1:3" x14ac:dyDescent="0.25">
      <c r="A7" s="5" t="s">
        <v>11</v>
      </c>
      <c r="B7" s="5" t="s">
        <v>12</v>
      </c>
      <c r="C7" s="5" t="s">
        <v>13</v>
      </c>
    </row>
    <row r="8" spans="1:3" x14ac:dyDescent="0.25">
      <c r="A8" s="5" t="s">
        <v>14</v>
      </c>
      <c r="B8" s="5" t="s">
        <v>15</v>
      </c>
      <c r="C8" s="5" t="s">
        <v>16</v>
      </c>
    </row>
    <row r="9" spans="1:3" x14ac:dyDescent="0.25">
      <c r="A9" s="5" t="s">
        <v>17</v>
      </c>
      <c r="B9" s="5" t="s">
        <v>18</v>
      </c>
      <c r="C9" s="5" t="s">
        <v>19</v>
      </c>
    </row>
    <row r="10" spans="1:3" x14ac:dyDescent="0.25">
      <c r="A10" s="5" t="s">
        <v>20</v>
      </c>
      <c r="B10" s="5" t="s">
        <v>21</v>
      </c>
      <c r="C10" s="5" t="s">
        <v>22</v>
      </c>
    </row>
    <row r="13" spans="1:8" x14ac:dyDescent="0.25">
      <c r="A13" s="6" t="s">
        <v>23</v>
      </c>
      <c r="B13" s="7"/>
      <c r="C13" s="7"/>
      <c r="D13" s="7"/>
      <c r="E13" s="7"/>
      <c r="F13" s="7"/>
      <c r="G13" s="7"/>
      <c r="H13" s="7"/>
    </row>
    <row r="14" spans="1:8" x14ac:dyDescent="0.25">
      <c r="A14" s="4" t="s">
        <v>24</v>
      </c>
      <c r="B14" s="4" t="s">
        <v>25</v>
      </c>
      <c r="C14" s="4"/>
      <c r="D14" s="4"/>
      <c r="E14" s="4"/>
      <c r="F14" s="4"/>
      <c r="G14" s="4"/>
      <c r="H14" s="4"/>
    </row>
    <row r="15" spans="1:8" x14ac:dyDescent="0.25">
      <c r="A15" s="5" t="s">
        <v>26</v>
      </c>
      <c r="B15" s="5" t="s">
        <v>27</v>
      </c>
      <c r="C15" s="5"/>
      <c r="D15" s="5"/>
      <c r="E15" s="5"/>
      <c r="F15" s="5"/>
      <c r="G15" s="5"/>
      <c r="H15" s="5"/>
    </row>
    <row r="16" spans="1:8" x14ac:dyDescent="0.25">
      <c r="A16" s="5" t="s">
        <v>28</v>
      </c>
      <c r="B16" s="5" t="s">
        <v>29</v>
      </c>
      <c r="C16" s="5"/>
      <c r="D16" s="5"/>
      <c r="E16" s="5"/>
      <c r="F16" s="5"/>
      <c r="G16" s="5"/>
      <c r="H16" s="5"/>
    </row>
    <row r="17" spans="1:8" x14ac:dyDescent="0.25">
      <c r="A17" s="5" t="s">
        <v>30</v>
      </c>
      <c r="B17" s="5" t="s">
        <v>31</v>
      </c>
      <c r="C17" s="5"/>
      <c r="D17" s="5"/>
      <c r="E17" s="5"/>
      <c r="F17" s="5"/>
      <c r="G17" s="5"/>
      <c r="H17" s="5"/>
    </row>
    <row r="18" spans="1:8" x14ac:dyDescent="0.25">
      <c r="A18" s="5" t="s">
        <v>32</v>
      </c>
      <c r="B18" s="5" t="s">
        <v>33</v>
      </c>
      <c r="C18" s="5"/>
      <c r="D18" s="5"/>
      <c r="E18" s="5"/>
      <c r="F18" s="5"/>
      <c r="G18" s="5"/>
      <c r="H18" s="5"/>
    </row>
  </sheetData>
  <sheetProtection sheet="1"/>
  <mergeCells count="8">
    <mergeCell ref="A1:H1"/>
    <mergeCell ref="A2:H2"/>
    <mergeCell ref="A13:H13"/>
    <mergeCell ref="B14:H14"/>
    <mergeCell ref="B15:H15"/>
    <mergeCell ref="B16:H16"/>
    <mergeCell ref="B17:H17"/>
    <mergeCell ref="B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showGridLines="0" zoomScale="100" zoomScaleNormal="100"/>
  </sheetViews>
  <sheetFormatPr defaultRowHeight="15" outlineLevelRow="0" outlineLevelCol="0" x14ac:dyDescent="0"/>
  <cols>
    <col min="1" max="1" width="24" customWidth="1"/>
    <col min="2" max="2" width="56" customWidth="1"/>
    <col min="3" max="3" width="42" customWidth="1"/>
    <col min="4" max="6" width="10" customWidth="1"/>
  </cols>
  <sheetData>
    <row r="1" ht="34" customHeight="1" spans="1:6" x14ac:dyDescent="0.25">
      <c r="A1" s="1" t="s">
        <v>34</v>
      </c>
      <c r="B1" s="1"/>
      <c r="C1" s="1"/>
      <c r="D1" s="1"/>
      <c r="E1" s="1"/>
      <c r="F1" s="1"/>
    </row>
    <row r="2" ht="28" customHeight="1" spans="1:7" x14ac:dyDescent="0.25">
      <c r="A2" s="2" t="s">
        <v>35</v>
      </c>
      <c r="B2" s="2"/>
      <c r="C2" s="2"/>
      <c r="D2" s="2"/>
      <c r="E2" s="2"/>
      <c r="F2" s="2"/>
      <c r="G2" s="7"/>
    </row>
    <row r="3" spans="1:7" x14ac:dyDescent="0.25">
      <c r="A3" s="7"/>
      <c r="B3" s="7"/>
      <c r="C3" s="7"/>
      <c r="D3" s="7"/>
      <c r="E3" s="7"/>
      <c r="F3" s="7"/>
      <c r="G3" s="7"/>
    </row>
    <row r="4" ht="30" customHeight="1" spans="1:3" x14ac:dyDescent="0.25">
      <c r="A4" s="3" t="s">
        <v>36</v>
      </c>
      <c r="B4" s="3" t="s">
        <v>3</v>
      </c>
      <c r="C4" s="3" t="s">
        <v>37</v>
      </c>
    </row>
    <row r="5" spans="1:3" x14ac:dyDescent="0.25">
      <c r="A5" s="8" t="s">
        <v>8</v>
      </c>
      <c r="B5" s="8" t="s">
        <v>9</v>
      </c>
      <c r="C5" s="8" t="s">
        <v>38</v>
      </c>
    </row>
    <row r="6" spans="1:3" x14ac:dyDescent="0.25">
      <c r="A6" s="9" t="s">
        <v>39</v>
      </c>
      <c r="B6" s="9" t="s">
        <v>40</v>
      </c>
      <c r="C6" s="9" t="s">
        <v>41</v>
      </c>
    </row>
    <row r="7" spans="1:3" x14ac:dyDescent="0.25">
      <c r="A7" s="9" t="s">
        <v>42</v>
      </c>
      <c r="B7" s="9" t="s">
        <v>43</v>
      </c>
      <c r="C7" s="9" t="s">
        <v>44</v>
      </c>
    </row>
    <row r="8" spans="1:3" x14ac:dyDescent="0.25">
      <c r="A8" s="9" t="s">
        <v>45</v>
      </c>
      <c r="B8" s="9" t="s">
        <v>46</v>
      </c>
      <c r="C8" s="9" t="s">
        <v>47</v>
      </c>
    </row>
    <row r="9" spans="1:3" x14ac:dyDescent="0.25">
      <c r="A9" s="9" t="s">
        <v>48</v>
      </c>
      <c r="B9" s="9" t="s">
        <v>49</v>
      </c>
      <c r="C9" s="9" t="s">
        <v>50</v>
      </c>
    </row>
    <row r="10" spans="1:3" x14ac:dyDescent="0.25">
      <c r="A10" s="9" t="s">
        <v>51</v>
      </c>
      <c r="B10" s="9" t="s">
        <v>52</v>
      </c>
      <c r="C10" s="9" t="s">
        <v>53</v>
      </c>
    </row>
    <row r="11" spans="1:3" x14ac:dyDescent="0.25">
      <c r="A11" s="9" t="s">
        <v>54</v>
      </c>
      <c r="B11" s="9" t="s">
        <v>55</v>
      </c>
      <c r="C11" s="9" t="s">
        <v>56</v>
      </c>
    </row>
    <row r="12" spans="1:3" x14ac:dyDescent="0.25">
      <c r="A12" s="9" t="s">
        <v>57</v>
      </c>
      <c r="B12" s="9" t="s">
        <v>58</v>
      </c>
      <c r="C12" s="9" t="s">
        <v>56</v>
      </c>
    </row>
    <row r="13" spans="1:3" x14ac:dyDescent="0.25">
      <c r="A13" s="9" t="s">
        <v>59</v>
      </c>
      <c r="B13" s="9" t="s">
        <v>60</v>
      </c>
      <c r="C13" s="9" t="s">
        <v>61</v>
      </c>
    </row>
    <row r="14" spans="1:3" x14ac:dyDescent="0.25">
      <c r="A14" s="9" t="s">
        <v>62</v>
      </c>
      <c r="B14" s="9" t="s">
        <v>63</v>
      </c>
      <c r="C14" s="9" t="s">
        <v>64</v>
      </c>
    </row>
    <row r="15" spans="1:3" x14ac:dyDescent="0.25">
      <c r="A15" s="9" t="s">
        <v>65</v>
      </c>
      <c r="B15" s="9" t="s">
        <v>66</v>
      </c>
      <c r="C15" s="9" t="s">
        <v>67</v>
      </c>
    </row>
    <row r="16" spans="1:3" x14ac:dyDescent="0.25">
      <c r="A16" s="9" t="s">
        <v>68</v>
      </c>
      <c r="B16" s="9" t="s">
        <v>69</v>
      </c>
      <c r="C16" s="9" t="s">
        <v>70</v>
      </c>
    </row>
  </sheetData>
  <sheetProtection sheet="1"/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34" customWidth="1"/>
    <col min="3" max="3" width="18" customWidth="1"/>
    <col min="4" max="4" width="14" customWidth="1"/>
    <col min="5" max="5" width="18" customWidth="1"/>
    <col min="6" max="6" width="42" customWidth="1"/>
  </cols>
  <sheetData>
    <row r="1" ht="34" customHeight="1" spans="1:6" x14ac:dyDescent="0.25">
      <c r="A1" s="1" t="s">
        <v>71</v>
      </c>
      <c r="B1" s="1"/>
      <c r="C1" s="1"/>
      <c r="D1" s="1"/>
      <c r="E1" s="1"/>
      <c r="F1" s="1"/>
    </row>
    <row r="2" ht="28" customHeight="1" spans="1:6" x14ac:dyDescent="0.25">
      <c r="A2" s="2" t="s">
        <v>72</v>
      </c>
      <c r="B2" s="2"/>
      <c r="C2" s="2"/>
      <c r="D2" s="2"/>
      <c r="E2" s="2"/>
      <c r="F2" s="2"/>
    </row>
    <row r="4" ht="30" customHeight="1" spans="1:6" x14ac:dyDescent="0.25">
      <c r="A4" s="3" t="s">
        <v>73</v>
      </c>
      <c r="B4" s="3" t="s">
        <v>74</v>
      </c>
      <c r="C4" s="3" t="s">
        <v>75</v>
      </c>
      <c r="D4" s="3" t="s">
        <v>14</v>
      </c>
      <c r="E4" s="3" t="s">
        <v>76</v>
      </c>
      <c r="F4" s="3" t="s">
        <v>77</v>
      </c>
    </row>
    <row r="5" spans="1:6" x14ac:dyDescent="0.25">
      <c r="A5" s="10" t="s">
        <v>78</v>
      </c>
      <c r="B5" s="11"/>
      <c r="C5" s="12"/>
      <c r="D5" s="11"/>
      <c r="E5" s="11"/>
      <c r="F5" s="11"/>
    </row>
    <row r="6" spans="1:6" x14ac:dyDescent="0.25">
      <c r="A6" s="13" t="s">
        <v>79</v>
      </c>
      <c r="B6" s="5" t="s">
        <v>80</v>
      </c>
      <c r="C6" s="14" t="s">
        <v>21</v>
      </c>
      <c r="D6" s="5"/>
      <c r="E6" s="5" t="s">
        <v>81</v>
      </c>
      <c r="F6" s="5" t="s">
        <v>82</v>
      </c>
    </row>
    <row r="7" spans="1:6" x14ac:dyDescent="0.25">
      <c r="A7" s="13" t="s">
        <v>83</v>
      </c>
      <c r="B7" s="5" t="s">
        <v>84</v>
      </c>
      <c r="C7" s="14" t="s">
        <v>40</v>
      </c>
      <c r="D7" s="5"/>
      <c r="E7" s="5" t="s">
        <v>85</v>
      </c>
      <c r="F7" s="5" t="s">
        <v>86</v>
      </c>
    </row>
    <row r="8" spans="1:6" x14ac:dyDescent="0.25">
      <c r="A8" s="13" t="s">
        <v>87</v>
      </c>
      <c r="B8" s="5" t="s">
        <v>88</v>
      </c>
      <c r="C8" s="14"/>
      <c r="D8" s="5"/>
      <c r="E8" s="5" t="s">
        <v>85</v>
      </c>
      <c r="F8" s="5"/>
    </row>
    <row r="9" spans="1:6" x14ac:dyDescent="0.25">
      <c r="A9" s="15" t="s">
        <v>89</v>
      </c>
      <c r="B9" s="16"/>
      <c r="C9" s="17"/>
      <c r="D9" s="16"/>
      <c r="E9" s="16"/>
      <c r="F9" s="16"/>
    </row>
    <row r="10" spans="1:6" x14ac:dyDescent="0.25">
      <c r="A10" s="13" t="s">
        <v>90</v>
      </c>
      <c r="B10" s="5" t="s">
        <v>91</v>
      </c>
      <c r="C10" s="18">
        <v>4</v>
      </c>
      <c r="D10" s="5" t="s">
        <v>92</v>
      </c>
      <c r="E10" s="5" t="s">
        <v>81</v>
      </c>
      <c r="F10" s="5" t="s">
        <v>93</v>
      </c>
    </row>
    <row r="11" spans="1:6" x14ac:dyDescent="0.25">
      <c r="A11" s="13" t="s">
        <v>94</v>
      </c>
      <c r="B11" s="5" t="s">
        <v>95</v>
      </c>
      <c r="C11" s="19">
        <v>2</v>
      </c>
      <c r="D11" s="5" t="s">
        <v>96</v>
      </c>
      <c r="E11" s="5" t="s">
        <v>81</v>
      </c>
      <c r="F11" s="5" t="s">
        <v>97</v>
      </c>
    </row>
    <row r="12" spans="1:6" x14ac:dyDescent="0.25">
      <c r="A12" s="13" t="s">
        <v>98</v>
      </c>
      <c r="B12" s="5" t="s">
        <v>99</v>
      </c>
      <c r="C12" s="19">
        <v>1000</v>
      </c>
      <c r="D12" s="5" t="s">
        <v>100</v>
      </c>
      <c r="E12" s="5" t="s">
        <v>101</v>
      </c>
      <c r="F12" s="5" t="s">
        <v>102</v>
      </c>
    </row>
    <row r="13" spans="1:6" x14ac:dyDescent="0.25">
      <c r="A13" s="13" t="s">
        <v>103</v>
      </c>
      <c r="B13" s="5" t="s">
        <v>104</v>
      </c>
      <c r="C13" s="19">
        <v>0.000001004</v>
      </c>
      <c r="D13" s="5" t="s">
        <v>105</v>
      </c>
      <c r="E13" s="5" t="s">
        <v>101</v>
      </c>
      <c r="F13" s="5" t="s">
        <v>102</v>
      </c>
    </row>
    <row r="14" spans="1:6" x14ac:dyDescent="0.25">
      <c r="A14" s="15" t="s">
        <v>54</v>
      </c>
      <c r="B14" s="16"/>
      <c r="C14" s="17"/>
      <c r="D14" s="16"/>
      <c r="E14" s="16"/>
      <c r="F14" s="16"/>
    </row>
    <row r="15" spans="1:6" x14ac:dyDescent="0.25">
      <c r="A15" s="13" t="s">
        <v>106</v>
      </c>
      <c r="B15" s="5" t="s">
        <v>107</v>
      </c>
      <c r="C15" s="19">
        <v>9</v>
      </c>
      <c r="D15" s="5" t="s">
        <v>108</v>
      </c>
      <c r="E15" s="5" t="s">
        <v>109</v>
      </c>
      <c r="F15" s="5" t="s">
        <v>110</v>
      </c>
    </row>
    <row r="16" spans="1:6" x14ac:dyDescent="0.25">
      <c r="A16" s="13" t="s">
        <v>111</v>
      </c>
      <c r="B16" s="5" t="s">
        <v>112</v>
      </c>
      <c r="C16" s="19">
        <v>12</v>
      </c>
      <c r="D16" s="5" t="s">
        <v>108</v>
      </c>
      <c r="E16" s="5" t="s">
        <v>109</v>
      </c>
      <c r="F16" s="5" t="s">
        <v>113</v>
      </c>
    </row>
    <row r="17" spans="1:6" x14ac:dyDescent="0.25">
      <c r="A17" s="13" t="s">
        <v>114</v>
      </c>
      <c r="B17" s="5" t="s">
        <v>115</v>
      </c>
      <c r="C17" s="19">
        <v>10</v>
      </c>
      <c r="D17" s="5" t="s">
        <v>116</v>
      </c>
      <c r="E17" s="5" t="s">
        <v>81</v>
      </c>
      <c r="F17" s="5" t="s">
        <v>117</v>
      </c>
    </row>
    <row r="18" spans="1:6" x14ac:dyDescent="0.25">
      <c r="A18" s="13" t="s">
        <v>118</v>
      </c>
      <c r="B18" s="5" t="s">
        <v>119</v>
      </c>
      <c r="C18" s="19">
        <v>0</v>
      </c>
      <c r="D18" s="5" t="s">
        <v>108</v>
      </c>
      <c r="E18" s="5" t="s">
        <v>81</v>
      </c>
      <c r="F18" s="5" t="s">
        <v>120</v>
      </c>
    </row>
    <row r="19" spans="1:6" x14ac:dyDescent="0.25">
      <c r="A19" s="13" t="s">
        <v>121</v>
      </c>
      <c r="B19" s="5" t="s">
        <v>122</v>
      </c>
      <c r="C19" s="19">
        <v>0</v>
      </c>
      <c r="D19" s="5"/>
      <c r="E19" s="5" t="s">
        <v>81</v>
      </c>
      <c r="F19" s="5" t="s">
        <v>123</v>
      </c>
    </row>
    <row r="20" spans="1:6" x14ac:dyDescent="0.25">
      <c r="A20" s="15" t="s">
        <v>124</v>
      </c>
      <c r="B20" s="16"/>
      <c r="C20" s="17"/>
      <c r="D20" s="16"/>
      <c r="E20" s="16"/>
      <c r="F20" s="16"/>
    </row>
    <row r="21" spans="1:6" x14ac:dyDescent="0.25">
      <c r="A21" s="13" t="s">
        <v>125</v>
      </c>
      <c r="B21" s="5" t="s">
        <v>126</v>
      </c>
      <c r="C21" s="19">
        <v>3</v>
      </c>
      <c r="D21" s="5" t="s">
        <v>108</v>
      </c>
      <c r="E21" s="5" t="s">
        <v>109</v>
      </c>
      <c r="F21" s="5" t="s">
        <v>127</v>
      </c>
    </row>
    <row r="22" spans="1:6" x14ac:dyDescent="0.25">
      <c r="A22" s="13" t="s">
        <v>128</v>
      </c>
      <c r="B22" s="5" t="s">
        <v>129</v>
      </c>
      <c r="C22" s="19">
        <v>5</v>
      </c>
      <c r="D22" s="5" t="s">
        <v>108</v>
      </c>
      <c r="E22" s="5" t="s">
        <v>109</v>
      </c>
      <c r="F22" s="5" t="s">
        <v>130</v>
      </c>
    </row>
    <row r="23" spans="1:6" x14ac:dyDescent="0.25">
      <c r="A23" s="13" t="s">
        <v>131</v>
      </c>
      <c r="B23" s="5" t="s">
        <v>132</v>
      </c>
      <c r="C23" s="19">
        <v>1</v>
      </c>
      <c r="D23" s="5" t="s">
        <v>116</v>
      </c>
      <c r="E23" s="5" t="s">
        <v>81</v>
      </c>
      <c r="F23" s="5" t="s">
        <v>117</v>
      </c>
    </row>
    <row r="24" spans="1:6" x14ac:dyDescent="0.25">
      <c r="A24" s="13" t="s">
        <v>133</v>
      </c>
      <c r="B24" s="5" t="s">
        <v>134</v>
      </c>
      <c r="C24" s="19">
        <v>0</v>
      </c>
      <c r="D24" s="5" t="s">
        <v>108</v>
      </c>
      <c r="E24" s="5" t="s">
        <v>81</v>
      </c>
      <c r="F24" s="5" t="s">
        <v>120</v>
      </c>
    </row>
    <row r="25" spans="1:6" x14ac:dyDescent="0.25">
      <c r="A25" s="13" t="s">
        <v>135</v>
      </c>
      <c r="B25" s="5" t="s">
        <v>136</v>
      </c>
      <c r="C25" s="19">
        <v>0</v>
      </c>
      <c r="D25" s="5"/>
      <c r="E25" s="5" t="s">
        <v>81</v>
      </c>
      <c r="F25" s="5" t="s">
        <v>123</v>
      </c>
    </row>
    <row r="26" spans="1:6" x14ac:dyDescent="0.25">
      <c r="A26" s="15" t="s">
        <v>137</v>
      </c>
      <c r="B26" s="16"/>
      <c r="C26" s="17"/>
      <c r="D26" s="16"/>
      <c r="E26" s="16"/>
      <c r="F26" s="16"/>
    </row>
    <row r="27" spans="1:6" x14ac:dyDescent="0.25">
      <c r="A27" s="13" t="s">
        <v>138</v>
      </c>
      <c r="B27" s="5" t="s">
        <v>139</v>
      </c>
      <c r="C27" s="19"/>
      <c r="D27" s="5" t="s">
        <v>140</v>
      </c>
      <c r="E27" s="5" t="s">
        <v>141</v>
      </c>
      <c r="F27" s="5" t="s">
        <v>142</v>
      </c>
    </row>
    <row r="28" spans="1:6" x14ac:dyDescent="0.25">
      <c r="A28" s="13" t="s">
        <v>143</v>
      </c>
      <c r="B28" s="5" t="s">
        <v>144</v>
      </c>
      <c r="C28" s="19"/>
      <c r="D28" s="5" t="s">
        <v>140</v>
      </c>
      <c r="E28" s="5" t="s">
        <v>141</v>
      </c>
      <c r="F28" s="5"/>
    </row>
    <row r="29" spans="1:6" x14ac:dyDescent="0.25">
      <c r="A29" s="13" t="s">
        <v>145</v>
      </c>
      <c r="B29" s="5" t="s">
        <v>146</v>
      </c>
      <c r="C29" s="19"/>
      <c r="D29" s="5" t="s">
        <v>140</v>
      </c>
      <c r="E29" s="5" t="s">
        <v>141</v>
      </c>
      <c r="F29" s="5" t="s">
        <v>147</v>
      </c>
    </row>
    <row r="30" spans="1:6" x14ac:dyDescent="0.25">
      <c r="A30" s="13" t="s">
        <v>148</v>
      </c>
      <c r="B30" s="5" t="s">
        <v>149</v>
      </c>
      <c r="C30" s="19"/>
      <c r="D30" s="5" t="s">
        <v>140</v>
      </c>
      <c r="E30" s="5" t="s">
        <v>141</v>
      </c>
      <c r="F30" s="5" t="s">
        <v>147</v>
      </c>
    </row>
    <row r="31" spans="1:6" x14ac:dyDescent="0.25">
      <c r="A31" s="13" t="s">
        <v>150</v>
      </c>
      <c r="B31" s="5" t="s">
        <v>151</v>
      </c>
      <c r="C31" s="19"/>
      <c r="D31" s="5" t="s">
        <v>140</v>
      </c>
      <c r="E31" s="5" t="s">
        <v>141</v>
      </c>
      <c r="F31" s="5"/>
    </row>
    <row r="32" spans="1:6" x14ac:dyDescent="0.25">
      <c r="A32" s="13" t="s">
        <v>152</v>
      </c>
      <c r="B32" s="5" t="s">
        <v>153</v>
      </c>
      <c r="C32" s="19">
        <v>0</v>
      </c>
      <c r="D32" s="5" t="s">
        <v>116</v>
      </c>
      <c r="E32" s="5" t="s">
        <v>81</v>
      </c>
      <c r="F32" s="5" t="s">
        <v>154</v>
      </c>
    </row>
    <row r="33" spans="1:6" x14ac:dyDescent="0.25">
      <c r="A33" s="13" t="s">
        <v>155</v>
      </c>
      <c r="B33" s="5" t="s">
        <v>156</v>
      </c>
      <c r="C33" s="19">
        <v>0</v>
      </c>
      <c r="D33" s="5" t="s">
        <v>140</v>
      </c>
      <c r="E33" s="5" t="s">
        <v>81</v>
      </c>
      <c r="F33" s="5" t="s">
        <v>157</v>
      </c>
    </row>
    <row r="34" spans="1:6" x14ac:dyDescent="0.25">
      <c r="A34" s="13" t="s">
        <v>158</v>
      </c>
      <c r="B34" s="5" t="s">
        <v>159</v>
      </c>
      <c r="C34" s="19"/>
      <c r="D34" s="5" t="s">
        <v>140</v>
      </c>
      <c r="E34" s="5" t="s">
        <v>160</v>
      </c>
      <c r="F34" s="5"/>
    </row>
    <row r="35" spans="1:6" x14ac:dyDescent="0.25">
      <c r="A35" s="13" t="s">
        <v>161</v>
      </c>
      <c r="B35" s="5" t="s">
        <v>162</v>
      </c>
      <c r="C35" s="19"/>
      <c r="D35" s="5" t="s">
        <v>140</v>
      </c>
      <c r="E35" s="5" t="s">
        <v>160</v>
      </c>
      <c r="F35" s="5"/>
    </row>
    <row r="36" spans="1:6" x14ac:dyDescent="0.25">
      <c r="A36" s="15" t="s">
        <v>163</v>
      </c>
      <c r="B36" s="16"/>
      <c r="C36" s="17"/>
      <c r="D36" s="16"/>
      <c r="E36" s="16"/>
      <c r="F36" s="16"/>
    </row>
    <row r="37" spans="1:6" x14ac:dyDescent="0.25">
      <c r="A37" s="13" t="s">
        <v>164</v>
      </c>
      <c r="B37" s="5" t="s">
        <v>165</v>
      </c>
      <c r="C37" s="19"/>
      <c r="D37" s="5" t="s">
        <v>140</v>
      </c>
      <c r="E37" s="5" t="s">
        <v>160</v>
      </c>
      <c r="F37" s="5"/>
    </row>
    <row r="38" spans="1:6" x14ac:dyDescent="0.25">
      <c r="A38" s="13" t="s">
        <v>166</v>
      </c>
      <c r="B38" s="5" t="s">
        <v>167</v>
      </c>
      <c r="C38" s="19"/>
      <c r="D38" s="5" t="s">
        <v>140</v>
      </c>
      <c r="E38" s="5" t="s">
        <v>160</v>
      </c>
      <c r="F38" s="5"/>
    </row>
    <row r="39" spans="1:6" x14ac:dyDescent="0.25">
      <c r="A39" s="13" t="s">
        <v>168</v>
      </c>
      <c r="B39" s="5" t="s">
        <v>169</v>
      </c>
      <c r="C39" s="19"/>
      <c r="D39" s="5" t="s">
        <v>140</v>
      </c>
      <c r="E39" s="5" t="s">
        <v>160</v>
      </c>
      <c r="F39" s="5" t="s">
        <v>170</v>
      </c>
    </row>
    <row r="40" spans="1:6" x14ac:dyDescent="0.25">
      <c r="A40" s="13" t="s">
        <v>171</v>
      </c>
      <c r="B40" s="5" t="s">
        <v>172</v>
      </c>
      <c r="C40" s="19"/>
      <c r="D40" s="5" t="s">
        <v>140</v>
      </c>
      <c r="E40" s="5" t="s">
        <v>160</v>
      </c>
      <c r="F40" s="5" t="s">
        <v>170</v>
      </c>
    </row>
    <row r="41" spans="1:6" x14ac:dyDescent="0.25">
      <c r="A41" s="13" t="s">
        <v>173</v>
      </c>
      <c r="B41" s="5" t="s">
        <v>174</v>
      </c>
      <c r="C41" s="19"/>
      <c r="D41" s="5" t="s">
        <v>140</v>
      </c>
      <c r="E41" s="5" t="s">
        <v>160</v>
      </c>
      <c r="F41" s="5" t="s">
        <v>175</v>
      </c>
    </row>
    <row r="42" spans="1:6" x14ac:dyDescent="0.25">
      <c r="A42" s="15" t="s">
        <v>176</v>
      </c>
      <c r="B42" s="16"/>
      <c r="C42" s="17"/>
      <c r="D42" s="16"/>
      <c r="E42" s="16"/>
      <c r="F42" s="16"/>
    </row>
    <row r="43" spans="1:6" x14ac:dyDescent="0.25">
      <c r="A43" s="13" t="s">
        <v>177</v>
      </c>
      <c r="B43" s="5" t="s">
        <v>178</v>
      </c>
      <c r="C43" s="19"/>
      <c r="D43" s="5" t="s">
        <v>140</v>
      </c>
      <c r="E43" s="5" t="s">
        <v>160</v>
      </c>
      <c r="F43" s="5"/>
    </row>
    <row r="44" spans="1:6" x14ac:dyDescent="0.25">
      <c r="A44" s="13" t="s">
        <v>179</v>
      </c>
      <c r="B44" s="5" t="s">
        <v>180</v>
      </c>
      <c r="C44" s="19"/>
      <c r="D44" s="5" t="s">
        <v>140</v>
      </c>
      <c r="E44" s="5" t="s">
        <v>160</v>
      </c>
      <c r="F44" s="5" t="s">
        <v>170</v>
      </c>
    </row>
    <row r="45" spans="1:6" x14ac:dyDescent="0.25">
      <c r="A45" s="13" t="s">
        <v>181</v>
      </c>
      <c r="B45" s="5" t="s">
        <v>182</v>
      </c>
      <c r="C45" s="19"/>
      <c r="D45" s="5" t="s">
        <v>140</v>
      </c>
      <c r="E45" s="5" t="s">
        <v>160</v>
      </c>
      <c r="F45" s="5"/>
    </row>
    <row r="46" spans="1:6" x14ac:dyDescent="0.25">
      <c r="A46" s="15" t="s">
        <v>183</v>
      </c>
      <c r="B46" s="16"/>
      <c r="C46" s="17"/>
      <c r="D46" s="16"/>
      <c r="E46" s="16"/>
      <c r="F46" s="16"/>
    </row>
    <row r="47" spans="1:6" x14ac:dyDescent="0.25">
      <c r="A47" s="13" t="s">
        <v>184</v>
      </c>
      <c r="B47" s="5" t="s">
        <v>185</v>
      </c>
      <c r="C47" s="19"/>
      <c r="D47" s="5" t="s">
        <v>140</v>
      </c>
      <c r="E47" s="5" t="s">
        <v>160</v>
      </c>
      <c r="F47" s="5"/>
    </row>
    <row r="48" spans="1:6" x14ac:dyDescent="0.25">
      <c r="A48" s="13" t="s">
        <v>186</v>
      </c>
      <c r="B48" s="5" t="s">
        <v>187</v>
      </c>
      <c r="C48" s="19"/>
      <c r="D48" s="5" t="s">
        <v>140</v>
      </c>
      <c r="E48" s="5" t="s">
        <v>160</v>
      </c>
      <c r="F48" s="5" t="s">
        <v>188</v>
      </c>
    </row>
    <row r="49" spans="1:6" x14ac:dyDescent="0.25">
      <c r="A49" s="13" t="s">
        <v>189</v>
      </c>
      <c r="B49" s="5" t="s">
        <v>190</v>
      </c>
      <c r="C49" s="19"/>
      <c r="D49" s="5" t="s">
        <v>140</v>
      </c>
      <c r="E49" s="5" t="s">
        <v>160</v>
      </c>
      <c r="F49" s="5"/>
    </row>
    <row r="50" spans="1:6" x14ac:dyDescent="0.25">
      <c r="A50" s="13" t="s">
        <v>191</v>
      </c>
      <c r="B50" s="5" t="s">
        <v>192</v>
      </c>
      <c r="C50" s="19"/>
      <c r="D50" s="5" t="s">
        <v>140</v>
      </c>
      <c r="E50" s="5" t="s">
        <v>160</v>
      </c>
      <c r="F50" s="5"/>
    </row>
    <row r="51" spans="1:6" x14ac:dyDescent="0.25">
      <c r="A51" s="15" t="s">
        <v>193</v>
      </c>
      <c r="B51" s="16"/>
      <c r="C51" s="17"/>
      <c r="D51" s="16"/>
      <c r="E51" s="16"/>
      <c r="F51" s="16"/>
    </row>
    <row r="52" spans="1:6" x14ac:dyDescent="0.25">
      <c r="A52" s="13" t="s">
        <v>194</v>
      </c>
      <c r="B52" s="5" t="s">
        <v>195</v>
      </c>
      <c r="C52" s="19">
        <v>0</v>
      </c>
      <c r="D52" s="5" t="s">
        <v>196</v>
      </c>
      <c r="E52" s="5" t="s">
        <v>81</v>
      </c>
      <c r="F52" s="5" t="s">
        <v>197</v>
      </c>
    </row>
    <row r="53" spans="1:6" x14ac:dyDescent="0.25">
      <c r="A53" s="13" t="s">
        <v>198</v>
      </c>
      <c r="B53" s="5" t="s">
        <v>199</v>
      </c>
      <c r="C53" s="19"/>
      <c r="D53" s="5" t="s">
        <v>196</v>
      </c>
      <c r="E53" s="5" t="s">
        <v>200</v>
      </c>
      <c r="F53" s="5"/>
    </row>
    <row r="54" spans="1:6" x14ac:dyDescent="0.25">
      <c r="A54" s="13" t="s">
        <v>201</v>
      </c>
      <c r="B54" s="5" t="s">
        <v>202</v>
      </c>
      <c r="C54" s="19"/>
      <c r="D54" s="5" t="s">
        <v>196</v>
      </c>
      <c r="E54" s="5" t="s">
        <v>203</v>
      </c>
      <c r="F54" s="5"/>
    </row>
    <row r="55" spans="1:6" x14ac:dyDescent="0.25">
      <c r="A55" s="13" t="s">
        <v>204</v>
      </c>
      <c r="B55" s="5" t="s">
        <v>205</v>
      </c>
      <c r="C55" s="19"/>
      <c r="D55" s="5" t="s">
        <v>206</v>
      </c>
      <c r="E55" s="5" t="s">
        <v>203</v>
      </c>
      <c r="F55" s="5"/>
    </row>
    <row r="56" spans="1:6" x14ac:dyDescent="0.25">
      <c r="A56" s="13" t="s">
        <v>207</v>
      </c>
      <c r="B56" s="5" t="s">
        <v>208</v>
      </c>
      <c r="C56" s="19">
        <v>0</v>
      </c>
      <c r="D56" s="5" t="s">
        <v>209</v>
      </c>
      <c r="E56" s="5" t="s">
        <v>81</v>
      </c>
      <c r="F56" s="5"/>
    </row>
    <row r="57" spans="1:6" x14ac:dyDescent="0.25">
      <c r="A57" s="13" t="s">
        <v>210</v>
      </c>
      <c r="B57" s="5" t="s">
        <v>211</v>
      </c>
      <c r="C57" s="19"/>
      <c r="D57" s="5" t="s">
        <v>96</v>
      </c>
      <c r="E57" s="5" t="s">
        <v>141</v>
      </c>
      <c r="F57" s="5"/>
    </row>
    <row r="58" spans="1:6" x14ac:dyDescent="0.25">
      <c r="A58" s="15" t="s">
        <v>212</v>
      </c>
      <c r="B58" s="16"/>
      <c r="C58" s="17"/>
      <c r="D58" s="16"/>
      <c r="E58" s="16"/>
      <c r="F58" s="16"/>
    </row>
    <row r="59" spans="1:6" x14ac:dyDescent="0.25">
      <c r="A59" s="13" t="s">
        <v>213</v>
      </c>
      <c r="B59" s="5" t="s">
        <v>214</v>
      </c>
      <c r="C59" s="14"/>
      <c r="D59" s="5"/>
      <c r="E59" s="5" t="s">
        <v>160</v>
      </c>
      <c r="F59" s="5"/>
    </row>
    <row r="60" spans="1:6" x14ac:dyDescent="0.25">
      <c r="A60" s="13" t="s">
        <v>215</v>
      </c>
      <c r="B60" s="5" t="s">
        <v>216</v>
      </c>
      <c r="C60" s="14"/>
      <c r="D60" s="5"/>
      <c r="E60" s="5" t="s">
        <v>160</v>
      </c>
      <c r="F60" s="5" t="s">
        <v>217</v>
      </c>
    </row>
    <row r="61" spans="1:6" x14ac:dyDescent="0.25">
      <c r="A61" s="13" t="s">
        <v>218</v>
      </c>
      <c r="B61" s="5" t="s">
        <v>219</v>
      </c>
      <c r="C61" s="19"/>
      <c r="D61" s="5" t="s">
        <v>140</v>
      </c>
      <c r="E61" s="5" t="s">
        <v>160</v>
      </c>
      <c r="F61" s="5"/>
    </row>
    <row r="62" spans="1:6" x14ac:dyDescent="0.25">
      <c r="A62" s="13" t="s">
        <v>220</v>
      </c>
      <c r="B62" s="5" t="s">
        <v>221</v>
      </c>
      <c r="C62" s="19"/>
      <c r="D62" s="5" t="s">
        <v>96</v>
      </c>
      <c r="E62" s="5" t="s">
        <v>160</v>
      </c>
      <c r="F62" s="5"/>
    </row>
    <row r="63" spans="1:6" x14ac:dyDescent="0.25">
      <c r="A63" s="13" t="s">
        <v>222</v>
      </c>
      <c r="B63" s="5" t="s">
        <v>223</v>
      </c>
      <c r="C63" s="19"/>
      <c r="D63" s="5" t="s">
        <v>96</v>
      </c>
      <c r="E63" s="5" t="s">
        <v>160</v>
      </c>
      <c r="F63" s="5"/>
    </row>
    <row r="64" spans="1:6" x14ac:dyDescent="0.25">
      <c r="A64" s="13" t="s">
        <v>224</v>
      </c>
      <c r="B64" s="5" t="s">
        <v>225</v>
      </c>
      <c r="C64" s="19"/>
      <c r="D64" s="5" t="s">
        <v>140</v>
      </c>
      <c r="E64" s="5" t="s">
        <v>160</v>
      </c>
      <c r="F64" s="5"/>
    </row>
    <row r="65" spans="1:6" x14ac:dyDescent="0.25">
      <c r="A65" s="13" t="s">
        <v>226</v>
      </c>
      <c r="B65" s="5" t="s">
        <v>227</v>
      </c>
      <c r="C65" s="19"/>
      <c r="D65" s="5" t="s">
        <v>140</v>
      </c>
      <c r="E65" s="5" t="s">
        <v>160</v>
      </c>
      <c r="F65" s="5"/>
    </row>
    <row r="66" spans="1:6" x14ac:dyDescent="0.25">
      <c r="A66" s="13" t="s">
        <v>228</v>
      </c>
      <c r="B66" s="5" t="s">
        <v>229</v>
      </c>
      <c r="C66" s="19"/>
      <c r="D66" s="5" t="s">
        <v>96</v>
      </c>
      <c r="E66" s="5" t="s">
        <v>160</v>
      </c>
      <c r="F66" s="5"/>
    </row>
    <row r="67" spans="1:6" x14ac:dyDescent="0.25">
      <c r="A67" s="13" t="s">
        <v>230</v>
      </c>
      <c r="B67" s="5" t="s">
        <v>231</v>
      </c>
      <c r="C67" s="19"/>
      <c r="D67" s="5" t="s">
        <v>96</v>
      </c>
      <c r="E67" s="5" t="s">
        <v>160</v>
      </c>
      <c r="F67" s="5"/>
    </row>
    <row r="68" spans="1:6" x14ac:dyDescent="0.25">
      <c r="A68" s="13" t="s">
        <v>232</v>
      </c>
      <c r="B68" s="5" t="s">
        <v>233</v>
      </c>
      <c r="C68" s="20"/>
      <c r="D68" s="5" t="s">
        <v>234</v>
      </c>
      <c r="E68" s="5" t="s">
        <v>160</v>
      </c>
      <c r="F68" s="5" t="s">
        <v>235</v>
      </c>
    </row>
    <row r="69" spans="1:6" x14ac:dyDescent="0.25">
      <c r="A69" s="15" t="s">
        <v>236</v>
      </c>
      <c r="B69" s="16"/>
      <c r="C69" s="17"/>
      <c r="D69" s="16"/>
      <c r="E69" s="16"/>
      <c r="F69" s="16"/>
    </row>
    <row r="70" spans="1:6" x14ac:dyDescent="0.25">
      <c r="A70" s="13" t="s">
        <v>237</v>
      </c>
      <c r="B70" s="5" t="s">
        <v>238</v>
      </c>
      <c r="C70" s="19"/>
      <c r="D70" s="5" t="s">
        <v>96</v>
      </c>
      <c r="E70" s="5" t="s">
        <v>141</v>
      </c>
      <c r="F70" s="5"/>
    </row>
    <row r="71" spans="1:6" x14ac:dyDescent="0.25">
      <c r="A71" s="13" t="s">
        <v>239</v>
      </c>
      <c r="B71" s="5" t="s">
        <v>240</v>
      </c>
      <c r="C71" s="19">
        <v>10</v>
      </c>
      <c r="D71" s="5" t="s">
        <v>206</v>
      </c>
      <c r="E71" s="5" t="s">
        <v>81</v>
      </c>
      <c r="F71" s="5"/>
    </row>
    <row r="72" spans="1:6" x14ac:dyDescent="0.25">
      <c r="A72" s="13" t="s">
        <v>241</v>
      </c>
      <c r="B72" s="5" t="s">
        <v>242</v>
      </c>
      <c r="C72" s="19"/>
      <c r="D72" s="5" t="s">
        <v>243</v>
      </c>
      <c r="E72" s="5" t="s">
        <v>141</v>
      </c>
      <c r="F72" s="5" t="s">
        <v>244</v>
      </c>
    </row>
    <row r="73" spans="1:6" x14ac:dyDescent="0.25">
      <c r="A73" s="13" t="s">
        <v>245</v>
      </c>
      <c r="B73" s="5" t="s">
        <v>246</v>
      </c>
      <c r="C73" s="19"/>
      <c r="D73" s="5" t="s">
        <v>243</v>
      </c>
      <c r="E73" s="5" t="s">
        <v>141</v>
      </c>
      <c r="F73" s="5" t="s">
        <v>244</v>
      </c>
    </row>
    <row r="74" spans="1:6" x14ac:dyDescent="0.25">
      <c r="A74" s="13" t="s">
        <v>247</v>
      </c>
      <c r="B74" s="5" t="s">
        <v>248</v>
      </c>
      <c r="C74" s="19"/>
      <c r="D74" s="5" t="s">
        <v>243</v>
      </c>
      <c r="E74" s="5" t="s">
        <v>141</v>
      </c>
      <c r="F74" s="5" t="s">
        <v>244</v>
      </c>
    </row>
    <row r="75" spans="1:6" x14ac:dyDescent="0.25">
      <c r="A75" s="13" t="s">
        <v>249</v>
      </c>
      <c r="B75" s="5" t="s">
        <v>250</v>
      </c>
      <c r="C75" s="19"/>
      <c r="D75" s="5" t="s">
        <v>243</v>
      </c>
      <c r="E75" s="5" t="s">
        <v>141</v>
      </c>
      <c r="F75" s="5" t="s">
        <v>244</v>
      </c>
    </row>
    <row r="76" spans="1:6" x14ac:dyDescent="0.25">
      <c r="A76" s="13" t="s">
        <v>251</v>
      </c>
      <c r="B76" s="5" t="s">
        <v>252</v>
      </c>
      <c r="C76" s="19"/>
      <c r="D76" s="5" t="s">
        <v>243</v>
      </c>
      <c r="E76" s="5" t="s">
        <v>141</v>
      </c>
      <c r="F76" s="5" t="s">
        <v>244</v>
      </c>
    </row>
    <row r="77" spans="1:6" x14ac:dyDescent="0.25">
      <c r="A77" s="13" t="s">
        <v>253</v>
      </c>
      <c r="B77" s="5" t="s">
        <v>254</v>
      </c>
      <c r="C77" s="19"/>
      <c r="D77" s="5" t="s">
        <v>243</v>
      </c>
      <c r="E77" s="5" t="s">
        <v>141</v>
      </c>
      <c r="F77" s="5" t="s">
        <v>244</v>
      </c>
    </row>
    <row r="78" spans="1:6" x14ac:dyDescent="0.25">
      <c r="A78" s="13" t="s">
        <v>255</v>
      </c>
      <c r="B78" s="5" t="s">
        <v>256</v>
      </c>
      <c r="C78" s="19"/>
      <c r="D78" s="5" t="s">
        <v>243</v>
      </c>
      <c r="E78" s="5" t="s">
        <v>141</v>
      </c>
      <c r="F78" s="5" t="s">
        <v>244</v>
      </c>
    </row>
    <row r="79" spans="1:6" x14ac:dyDescent="0.25">
      <c r="A79" s="13" t="s">
        <v>257</v>
      </c>
      <c r="B79" s="5" t="s">
        <v>258</v>
      </c>
      <c r="C79" s="19"/>
      <c r="D79" s="5" t="s">
        <v>243</v>
      </c>
      <c r="E79" s="5" t="s">
        <v>141</v>
      </c>
      <c r="F79" s="5" t="s">
        <v>244</v>
      </c>
    </row>
    <row r="80" spans="1:6" x14ac:dyDescent="0.25">
      <c r="A80" s="13" t="s">
        <v>259</v>
      </c>
      <c r="B80" s="5" t="s">
        <v>260</v>
      </c>
      <c r="C80" s="19"/>
      <c r="D80" s="5" t="s">
        <v>243</v>
      </c>
      <c r="E80" s="5" t="s">
        <v>141</v>
      </c>
      <c r="F80" s="5" t="s">
        <v>244</v>
      </c>
    </row>
    <row r="81" spans="1:6" x14ac:dyDescent="0.25">
      <c r="A81" s="13" t="s">
        <v>261</v>
      </c>
      <c r="B81" s="5" t="s">
        <v>262</v>
      </c>
      <c r="C81" s="19"/>
      <c r="D81" s="5" t="s">
        <v>243</v>
      </c>
      <c r="E81" s="5" t="s">
        <v>141</v>
      </c>
      <c r="F81" s="5" t="s">
        <v>244</v>
      </c>
    </row>
    <row r="82" spans="1:6" x14ac:dyDescent="0.25">
      <c r="A82" s="13" t="s">
        <v>263</v>
      </c>
      <c r="B82" s="5" t="s">
        <v>264</v>
      </c>
      <c r="C82" s="19"/>
      <c r="D82" s="5" t="s">
        <v>243</v>
      </c>
      <c r="E82" s="5" t="s">
        <v>141</v>
      </c>
      <c r="F82" s="5" t="s">
        <v>244</v>
      </c>
    </row>
    <row r="83" spans="1:6" x14ac:dyDescent="0.25">
      <c r="A83" s="13" t="s">
        <v>265</v>
      </c>
      <c r="B83" s="5" t="s">
        <v>266</v>
      </c>
      <c r="C83" s="19"/>
      <c r="D83" s="5" t="s">
        <v>243</v>
      </c>
      <c r="E83" s="5" t="s">
        <v>141</v>
      </c>
      <c r="F83" s="5" t="s">
        <v>244</v>
      </c>
    </row>
    <row r="84" spans="1:6" x14ac:dyDescent="0.25">
      <c r="A84" s="13" t="s">
        <v>267</v>
      </c>
      <c r="B84" s="5" t="s">
        <v>268</v>
      </c>
      <c r="C84" s="19"/>
      <c r="D84" s="5" t="s">
        <v>243</v>
      </c>
      <c r="E84" s="5" t="s">
        <v>141</v>
      </c>
      <c r="F84" s="5" t="s">
        <v>244</v>
      </c>
    </row>
    <row r="85" spans="1:6" x14ac:dyDescent="0.25">
      <c r="A85" s="13" t="s">
        <v>269</v>
      </c>
      <c r="B85" s="5" t="s">
        <v>270</v>
      </c>
      <c r="C85" s="19"/>
      <c r="D85" s="5" t="s">
        <v>243</v>
      </c>
      <c r="E85" s="5" t="s">
        <v>141</v>
      </c>
      <c r="F85" s="5" t="s">
        <v>244</v>
      </c>
    </row>
    <row r="86" spans="1:6" x14ac:dyDescent="0.25">
      <c r="A86" s="13" t="s">
        <v>271</v>
      </c>
      <c r="B86" s="5" t="s">
        <v>272</v>
      </c>
      <c r="C86" s="19"/>
      <c r="D86" s="5" t="s">
        <v>243</v>
      </c>
      <c r="E86" s="5" t="s">
        <v>141</v>
      </c>
      <c r="F86" s="5" t="s">
        <v>244</v>
      </c>
    </row>
    <row r="87" spans="1:6" x14ac:dyDescent="0.25">
      <c r="A87" s="13" t="s">
        <v>273</v>
      </c>
      <c r="B87" s="5" t="s">
        <v>274</v>
      </c>
      <c r="C87" s="19"/>
      <c r="D87" s="5" t="s">
        <v>243</v>
      </c>
      <c r="E87" s="5" t="s">
        <v>141</v>
      </c>
      <c r="F87" s="5" t="s">
        <v>244</v>
      </c>
    </row>
  </sheetData>
  <sheetProtection sheet="1"/>
  <mergeCells count="13">
    <mergeCell ref="A1:F1"/>
    <mergeCell ref="A2:F2"/>
    <mergeCell ref="A5:F5"/>
    <mergeCell ref="A9:F9"/>
    <mergeCell ref="A14:F14"/>
    <mergeCell ref="A20:F20"/>
    <mergeCell ref="A26:F26"/>
    <mergeCell ref="A36:F36"/>
    <mergeCell ref="A42:F42"/>
    <mergeCell ref="A46:F46"/>
    <mergeCell ref="A51:F51"/>
    <mergeCell ref="A58:F58"/>
    <mergeCell ref="A69:F69"/>
  </mergeCells>
  <conditionalFormatting sqref="E5:E87">
    <cfRule type="containsText" dxfId="0" priority="1">
      <formula>NOT(ISERROR(SEARCH("undefined",E5)))</formula>
    </cfRule>
    <cfRule type="containsText" dxfId="1" priority="2">
      <formula>NOT(ISERROR(SEARCH("undefined",E5)))</formula>
    </cfRule>
    <cfRule type="containsText" dxfId="2" priority="3">
      <formula>NOT(ISERROR(SEARCH("undefined",E5)))</formula>
    </cfRule>
    <cfRule type="containsText" dxfId="3" priority="4">
      <formula>NOT(ISERROR(SEARCH("undefined",E5)))</formula>
    </cfRule>
  </conditionalFormatting>
  <dataValidations count="1">
    <dataValidation type="list" sqref="C68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 showGridLines="0" zoomScale="100" zoomScaleNormal="100"/>
  </sheetViews>
  <sheetFormatPr defaultRowHeight="15" outlineLevelRow="0" outlineLevelCol="0" x14ac:dyDescent="0"/>
  <cols>
    <col min="1" max="1" width="26" customWidth="1"/>
    <col min="2" max="3" width="22" customWidth="1"/>
    <col min="4" max="4" width="28" customWidth="1"/>
  </cols>
  <sheetData>
    <row r="1" ht="34" customHeight="1" spans="1:4" x14ac:dyDescent="0.25">
      <c r="A1" s="1" t="s">
        <v>275</v>
      </c>
      <c r="B1" s="1"/>
      <c r="C1" s="1"/>
      <c r="D1" s="1"/>
    </row>
    <row r="2" ht="28" customHeight="1" spans="1:4" x14ac:dyDescent="0.25">
      <c r="A2" s="2" t="s">
        <v>276</v>
      </c>
      <c r="B2" s="2"/>
      <c r="C2" s="2"/>
      <c r="D2" s="2"/>
    </row>
    <row r="4" ht="30" customHeight="1" spans="1:4" x14ac:dyDescent="0.25">
      <c r="A4" s="3" t="s">
        <v>2</v>
      </c>
      <c r="B4" s="3" t="s">
        <v>54</v>
      </c>
      <c r="C4" s="3" t="s">
        <v>124</v>
      </c>
      <c r="D4" s="3" t="s">
        <v>277</v>
      </c>
    </row>
    <row r="5" spans="1:4" x14ac:dyDescent="0.25">
      <c r="A5" s="4" t="s">
        <v>278</v>
      </c>
      <c r="B5" s="21">
        <f>'02_工况输入'!$C$10*'02_工况输入'!$C$11</f>
        <v>8</v>
      </c>
      <c r="C5" s="21">
        <f>'02_工况输入'!$C$11</f>
        <v>2</v>
      </c>
      <c r="D5" s="4" t="s">
        <v>96</v>
      </c>
    </row>
    <row r="6" spans="1:4" x14ac:dyDescent="0.25">
      <c r="A6" s="5" t="s">
        <v>279</v>
      </c>
      <c r="B6" s="22">
        <f>B5/3600000</f>
        <v>0.000002222222222222222</v>
      </c>
      <c r="C6" s="22">
        <f>C5/3600000</f>
        <v>5.555555555555555e-7</v>
      </c>
      <c r="D6" s="5" t="s">
        <v>280</v>
      </c>
    </row>
    <row r="7" spans="1:4" x14ac:dyDescent="0.25">
      <c r="A7" s="5" t="s">
        <v>281</v>
      </c>
      <c r="B7" s="22">
        <f>'02_工况输入'!$C$15</f>
        <v>9</v>
      </c>
      <c r="C7" s="22">
        <f>'02_工况输入'!$C$21</f>
        <v>3</v>
      </c>
      <c r="D7" s="5" t="s">
        <v>108</v>
      </c>
    </row>
    <row r="8" spans="1:4" x14ac:dyDescent="0.25">
      <c r="A8" s="5" t="s">
        <v>282</v>
      </c>
      <c r="B8" s="22">
        <f>'02_工况输入'!$C$17</f>
        <v>10</v>
      </c>
      <c r="C8" s="22">
        <f>'02_工况输入'!$C$23</f>
        <v>1</v>
      </c>
      <c r="D8" s="5" t="s">
        <v>116</v>
      </c>
    </row>
    <row r="9" spans="1:4" x14ac:dyDescent="0.25">
      <c r="A9" s="5" t="s">
        <v>283</v>
      </c>
      <c r="B9" s="22">
        <f>'02_工况输入'!$C$18</f>
        <v>0</v>
      </c>
      <c r="C9" s="22">
        <f>'02_工况输入'!$C$24</f>
        <v>0</v>
      </c>
      <c r="D9" s="5" t="s">
        <v>108</v>
      </c>
    </row>
    <row r="10" spans="1:4" x14ac:dyDescent="0.25">
      <c r="A10" s="5" t="s">
        <v>284</v>
      </c>
      <c r="B10" s="22">
        <f>'02_工况输入'!$C$19</f>
        <v>0</v>
      </c>
      <c r="C10" s="22">
        <f>'02_工况输入'!$C$25</f>
        <v>0</v>
      </c>
      <c r="D10" s="5" t="s">
        <v>285</v>
      </c>
    </row>
    <row r="11" spans="1:4" x14ac:dyDescent="0.25">
      <c r="A11" s="5" t="s">
        <v>286</v>
      </c>
      <c r="B11" s="22">
        <f>PI()*(B7/1000)^2/4</f>
        <v>0.0000636172512351933</v>
      </c>
      <c r="C11" s="22">
        <f>PI()*(C7/1000)^2/4</f>
        <v>0.000007068583470577034</v>
      </c>
      <c r="D11" s="5" t="s">
        <v>287</v>
      </c>
    </row>
    <row r="12" spans="1:4" x14ac:dyDescent="0.25">
      <c r="A12" s="5" t="s">
        <v>288</v>
      </c>
      <c r="B12" s="22">
        <f>IF(OR(B6="",B11&lt;=0),"",B6/B11)</f>
        <v>0.03493112605583437</v>
      </c>
      <c r="C12" s="22">
        <f>IF(OR(C6="",C11&lt;=0),"",C6/C11)</f>
        <v>0.07859503362562732</v>
      </c>
      <c r="D12" s="5" t="s">
        <v>289</v>
      </c>
    </row>
    <row r="13" spans="1:4" x14ac:dyDescent="0.25">
      <c r="A13" s="5" t="s">
        <v>290</v>
      </c>
      <c r="B13" s="22">
        <f>IF(OR(B12="",B7&lt;=0),"",B12*(B7/1000)/'02_工况输入'!$C$13)</f>
        <v>313.1276240064834</v>
      </c>
      <c r="C13" s="22">
        <f>IF(OR(C12="",C7&lt;=0),"",C12*(C7/1000)/'02_工况输入'!$C$13)</f>
        <v>234.84571800486253</v>
      </c>
      <c r="D13" s="5" t="s">
        <v>285</v>
      </c>
    </row>
    <row r="14" spans="1:4" x14ac:dyDescent="0.25">
      <c r="A14" s="5" t="s">
        <v>291</v>
      </c>
      <c r="B14" s="22" t="str">
        <f>IF(B13="","待确认",IF(B13&lt;2300,"层流",IF(B13&lt;4000,"过渡区","湍流")))</f>
        <v>层流</v>
      </c>
      <c r="C14" s="22" t="str">
        <f>IF(C13="","待确认",IF(C13&lt;2300,"层流",IF(C13&lt;4000,"过渡区","湍流")))</f>
        <v>层流</v>
      </c>
      <c r="D14" s="5" t="s">
        <v>285</v>
      </c>
    </row>
    <row r="15" spans="1:4" x14ac:dyDescent="0.25">
      <c r="A15" s="5" t="s">
        <v>292</v>
      </c>
      <c r="B15" s="22">
        <f>IF(B13="","",IF(B13&lt;2300,64/B13,IF(OR(B13&lt;4000,B9=""),"",0.25/(LOG10((B9/1000/(B7/1000))/3.7+5.74/B13^0.9)^2))))</f>
        <v>0.20438950476842904</v>
      </c>
      <c r="C15" s="22">
        <f>IF(C13="","",IF(C13&lt;2300,64/C13,IF(OR(C13&lt;4000,C9=""),"",0.25/(LOG10((C9/1000/(C7/1000))/3.7+5.74/C13^0.9)^2))))</f>
        <v>0.27251933969123876</v>
      </c>
      <c r="D15" s="5" t="s">
        <v>285</v>
      </c>
    </row>
    <row r="16" spans="1:4" x14ac:dyDescent="0.25">
      <c r="A16" s="5" t="s">
        <v>293</v>
      </c>
      <c r="B16" s="22">
        <f>IF(B15="","",B15*(B8/(B7/1000))*('02_工况输入'!$C$12*B12^2/2)/1000000)</f>
        <v>0.00013855150838541314</v>
      </c>
      <c r="C16" s="22">
        <f>IF(C15="","",C15*(C8/(C7/1000))*('02_工况输入'!$C$12*C12^2/2)/1000000)</f>
        <v>0.0002805668044804616</v>
      </c>
      <c r="D16" s="5" t="s">
        <v>140</v>
      </c>
    </row>
    <row r="17" spans="1:4" x14ac:dyDescent="0.25">
      <c r="A17" s="5" t="s">
        <v>294</v>
      </c>
      <c r="B17" s="22">
        <f>IF(OR(B12="",B10=""),"",B10*('02_工况输入'!$C$12*B12^2/2)/1000000)</f>
      </c>
      <c r="C17" s="22">
        <f>IF(OR(C12="",C10=""),"",C10*('02_工况输入'!$C$12*C12^2/2)/1000000)</f>
      </c>
      <c r="D17" s="5" t="s">
        <v>140</v>
      </c>
    </row>
    <row r="18" spans="1:4" x14ac:dyDescent="0.25">
      <c r="A18" s="5" t="s">
        <v>295</v>
      </c>
      <c r="B18" s="22">
        <f>IF(OR(B16="",B17=""),"",B16+B17)</f>
      </c>
      <c r="C18" s="22">
        <f>IF(OR(C16="",C17=""),"",C16+C17)</f>
      </c>
      <c r="D18" s="5" t="s">
        <v>140</v>
      </c>
    </row>
    <row r="19" spans="1:4" x14ac:dyDescent="0.25">
      <c r="A19" s="5" t="s">
        <v>296</v>
      </c>
      <c r="B19" s="22">
        <f>PI()*(B7/1000)^2/4*B8*1000</f>
        <v>0.6361725123519331</v>
      </c>
      <c r="C19" s="22">
        <f>PI()*(C7/1000)^2/4*C8*1000</f>
        <v>0.007068583470577035</v>
      </c>
      <c r="D19" s="5" t="s">
        <v>209</v>
      </c>
    </row>
    <row r="21" spans="1:4" x14ac:dyDescent="0.25">
      <c r="A21" s="4" t="s">
        <v>297</v>
      </c>
      <c r="B21" s="23">
        <f>B19+'02_工况输入'!$C$10*C19</f>
        <v>0.6644468462342412</v>
      </c>
      <c r="C21" s="4"/>
      <c r="D21" s="4" t="s">
        <v>298</v>
      </c>
    </row>
  </sheetData>
  <sheetProtection sheet="1"/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 zoomScale="100" zoomScaleNormal="100"/>
  </sheetViews>
  <sheetFormatPr defaultRowHeight="15" outlineLevelRow="0" outlineLevelCol="0" x14ac:dyDescent="0"/>
  <cols>
    <col min="1" max="1" width="30" customWidth="1"/>
    <col min="2" max="3" width="24" customWidth="1"/>
    <col min="4" max="4" width="38" customWidth="1"/>
  </cols>
  <sheetData>
    <row r="1" ht="34" customHeight="1" spans="1:4" x14ac:dyDescent="0.25">
      <c r="A1" s="1" t="s">
        <v>299</v>
      </c>
      <c r="B1" s="1"/>
      <c r="C1" s="1"/>
      <c r="D1" s="1"/>
    </row>
    <row r="2" ht="28" customHeight="1" spans="1:4" x14ac:dyDescent="0.25">
      <c r="A2" s="2" t="s">
        <v>300</v>
      </c>
      <c r="B2" s="2"/>
      <c r="C2" s="2"/>
      <c r="D2" s="2"/>
    </row>
    <row r="4" ht="30" customHeight="1" spans="1:4" x14ac:dyDescent="0.25">
      <c r="A4" s="3" t="s">
        <v>2</v>
      </c>
      <c r="B4" s="3" t="s">
        <v>301</v>
      </c>
      <c r="C4" s="3" t="s">
        <v>302</v>
      </c>
      <c r="D4" s="3" t="s">
        <v>303</v>
      </c>
    </row>
    <row r="5" spans="1:4" x14ac:dyDescent="0.25">
      <c r="A5" s="4" t="s">
        <v>139</v>
      </c>
      <c r="B5" s="21">
        <f>IF('02_工况输入'!$C$27=0,"",'02_工况输入'!$C$27)</f>
      </c>
      <c r="C5" s="21">
        <f>IF('02_工况输入'!$C$27=0,"",'02_工况输入'!$C$27)</f>
      </c>
      <c r="D5" s="4" t="s">
        <v>140</v>
      </c>
    </row>
    <row r="6" spans="1:4" x14ac:dyDescent="0.25">
      <c r="A6" s="5" t="s">
        <v>165</v>
      </c>
      <c r="B6" s="22">
        <f>IF('02_工况输入'!$C$37=0,"",'02_工况输入'!$C$37)</f>
      </c>
      <c r="C6" s="22">
        <f>IF('02_工况输入'!$C$37=0,"",'02_工况输入'!$C$37)</f>
      </c>
      <c r="D6" s="5" t="s">
        <v>140</v>
      </c>
    </row>
    <row r="7" spans="1:4" x14ac:dyDescent="0.25">
      <c r="A7" s="5" t="s">
        <v>167</v>
      </c>
      <c r="B7" s="22">
        <f>IF('02_工况输入'!$C$38=0,"",'02_工况输入'!$C$38)</f>
      </c>
      <c r="C7" s="22">
        <f>IF('02_工况输入'!$C$38=0,"",'02_工况输入'!$C$38)</f>
      </c>
      <c r="D7" s="5" t="s">
        <v>140</v>
      </c>
    </row>
    <row r="8" spans="1:4" x14ac:dyDescent="0.25">
      <c r="A8" s="5" t="s">
        <v>304</v>
      </c>
      <c r="B8" s="22">
        <f>IF(OR('02_工况输入'!$C$39="",'02_工况输入'!$C$40="",'02_工况输入'!$C$43="",'02_工况输入'!$C$44="",'02_工况输入'!$C$45=""),"",'02_工况输入'!$C$39+'02_工况输入'!$C$40+'02_工况输入'!$C$43+'02_工况输入'!$C$44+'02_工况输入'!$C$45)</f>
      </c>
      <c r="C8" s="22">
        <f>IF(OR('02_工况输入'!$C$39="",'02_工况输入'!$C$41="",'02_工况输入'!$C$43="",'02_工况输入'!$C$44="",'02_工况输入'!$C$45=""),"",'02_工况输入'!$C$39+'02_工况输入'!$C$41+'02_工况输入'!$C$43+'02_工况输入'!$C$44+'02_工况输入'!$C$45)</f>
      </c>
      <c r="D8" s="5" t="s">
        <v>140</v>
      </c>
    </row>
    <row r="9" spans="1:4" x14ac:dyDescent="0.25">
      <c r="A9" s="5" t="s">
        <v>305</v>
      </c>
      <c r="B9" s="22">
        <f>IF(OR(B6="",B7="",B8=""),"",B6+B7+B8)</f>
      </c>
      <c r="C9" s="22">
        <f>IF(OR(C6="",C7="",C8=""),"",C6+C7+C8)</f>
      </c>
      <c r="D9" s="5" t="s">
        <v>140</v>
      </c>
    </row>
    <row r="10" spans="1:4" x14ac:dyDescent="0.25">
      <c r="A10" s="5" t="s">
        <v>306</v>
      </c>
      <c r="B10" s="22">
        <f>IF(OR(B5="",B9=""),"",B5-B9)</f>
      </c>
      <c r="C10" s="22">
        <f>IF(OR(C5="",C9=""),"",C5-C9)</f>
      </c>
      <c r="D10" s="5" t="s">
        <v>140</v>
      </c>
    </row>
    <row r="11" spans="1:4" x14ac:dyDescent="0.25">
      <c r="A11" s="5" t="s">
        <v>307</v>
      </c>
      <c r="B11" s="24" t="str">
        <f>IF(B10="","待确认",IF(B10&gt;=0,"已计算","不适用"))</f>
        <v>待确认</v>
      </c>
      <c r="C11" s="24" t="str">
        <f>IF(C10="","待确认",IF(C10&gt;=0,"已计算","不适用"))</f>
        <v>待确认</v>
      </c>
      <c r="D11" s="5" t="s">
        <v>308</v>
      </c>
    </row>
    <row r="12" spans="1:4" x14ac:dyDescent="0.25">
      <c r="A12" s="5" t="s">
        <v>4</v>
      </c>
      <c r="B12" s="24" t="s">
        <v>309</v>
      </c>
      <c r="C12" s="24" t="s">
        <v>310</v>
      </c>
      <c r="D12" s="5" t="s">
        <v>311</v>
      </c>
    </row>
  </sheetData>
  <sheetProtection sheet="1"/>
  <mergeCells count="2">
    <mergeCell ref="A1:D1"/>
    <mergeCell ref="A2:D2"/>
  </mergeCells>
  <conditionalFormatting sqref="B11:C11">
    <cfRule type="containsText" dxfId="4" priority="1">
      <formula>NOT(ISERROR(SEARCH("undefined",B11)))</formula>
    </cfRule>
    <cfRule type="containsText" dxfId="5" priority="2">
      <formula>NOT(ISERROR(SEARCH("undefined",B11)))</formula>
    </cfRule>
    <cfRule type="containsText" dxfId="6" priority="3">
      <formula>NOT(ISERROR(SEARCH("undefined",B11)))</formula>
    </cfRule>
    <cfRule type="containsText" dxfId="7" priority="4">
      <formula>NOT(ISERROR(SEARCH("undefined",B11)))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showGridLines="0" zoomScale="100" zoomScaleNormal="100"/>
  </sheetViews>
  <sheetFormatPr defaultRowHeight="15" outlineLevelRow="0" outlineLevelCol="0" x14ac:dyDescent="0"/>
  <cols>
    <col min="1" max="1" width="30" customWidth="1"/>
    <col min="2" max="4" width="22" customWidth="1"/>
    <col min="5" max="5" width="42" customWidth="1"/>
  </cols>
  <sheetData>
    <row r="1" ht="34" customHeight="1" spans="1:5" x14ac:dyDescent="0.25">
      <c r="A1" s="1" t="s">
        <v>312</v>
      </c>
      <c r="B1" s="1"/>
      <c r="C1" s="1"/>
      <c r="D1" s="1"/>
      <c r="E1" s="1"/>
    </row>
    <row r="2" ht="28" customHeight="1" spans="1:5" x14ac:dyDescent="0.25">
      <c r="A2" s="2" t="s">
        <v>313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314</v>
      </c>
      <c r="C4" s="3" t="s">
        <v>315</v>
      </c>
      <c r="D4" s="3" t="s">
        <v>316</v>
      </c>
      <c r="E4" s="3" t="s">
        <v>317</v>
      </c>
    </row>
    <row r="5" spans="1:5" x14ac:dyDescent="0.25">
      <c r="A5" s="4" t="s">
        <v>62</v>
      </c>
      <c r="B5" s="21">
        <f>IF('02_工况输入'!$C$29=0,"",'02_工况输入'!$C$29)</f>
      </c>
      <c r="C5" s="21"/>
      <c r="D5" s="21"/>
      <c r="E5" s="4" t="s">
        <v>140</v>
      </c>
    </row>
    <row r="6" spans="1:5" x14ac:dyDescent="0.25">
      <c r="A6" s="5" t="s">
        <v>65</v>
      </c>
      <c r="B6" s="22">
        <f>IF('02_工况输入'!$C$30=0,"",'02_工况输入'!$C$30)</f>
      </c>
      <c r="C6" s="22"/>
      <c r="D6" s="22"/>
      <c r="E6" s="5" t="s">
        <v>140</v>
      </c>
    </row>
    <row r="7" spans="1:5" x14ac:dyDescent="0.25">
      <c r="A7" s="5" t="s">
        <v>318</v>
      </c>
      <c r="B7" s="22">
        <f>IF(OR(B5="",B6=""),"",B5-B6)</f>
      </c>
      <c r="C7" s="22"/>
      <c r="D7" s="22"/>
      <c r="E7" s="5" t="s">
        <v>319</v>
      </c>
    </row>
    <row r="8" spans="1:5" x14ac:dyDescent="0.25">
      <c r="A8" s="5" t="s">
        <v>320</v>
      </c>
      <c r="B8" s="22">
        <f>'03_管路水力'!B5</f>
        <v>8</v>
      </c>
      <c r="C8" s="22"/>
      <c r="D8" s="22"/>
      <c r="E8" s="5" t="s">
        <v>96</v>
      </c>
    </row>
    <row r="9" spans="1:5" x14ac:dyDescent="0.25">
      <c r="A9" s="5" t="s">
        <v>321</v>
      </c>
      <c r="B9" s="22">
        <f>'06_肥液与桶'!B10</f>
      </c>
      <c r="C9" s="22"/>
      <c r="D9" s="22"/>
      <c r="E9" s="5" t="s">
        <v>96</v>
      </c>
    </row>
    <row r="10" spans="1:5" x14ac:dyDescent="0.25">
      <c r="A10" s="5" t="s">
        <v>322</v>
      </c>
      <c r="B10" s="22">
        <f>IF(OR(B8="",B9=""),"",B8-B9)</f>
      </c>
      <c r="C10" s="22"/>
      <c r="D10" s="22"/>
      <c r="E10" s="5" t="s">
        <v>323</v>
      </c>
    </row>
    <row r="11" spans="1:5" x14ac:dyDescent="0.25">
      <c r="A11" s="5" t="s">
        <v>324</v>
      </c>
      <c r="B11" s="22">
        <f>IF('02_工况输入'!$C$61=0,"",'02_工况输入'!$C$61)</f>
      </c>
      <c r="C11" s="22"/>
      <c r="D11" s="22"/>
      <c r="E11" s="5" t="s">
        <v>140</v>
      </c>
    </row>
    <row r="12" spans="1:5" x14ac:dyDescent="0.25">
      <c r="A12" s="5" t="s">
        <v>325</v>
      </c>
      <c r="B12" s="22"/>
      <c r="C12" s="22">
        <f>IF('02_工况输入'!$C$62=0,"",'02_工况输入'!$C$62)</f>
      </c>
      <c r="D12" s="22">
        <f>IF('02_工况输入'!$C$63=0,"",'02_工况输入'!$C$63)</f>
      </c>
      <c r="E12" s="5" t="s">
        <v>96</v>
      </c>
    </row>
    <row r="13" spans="1:5" x14ac:dyDescent="0.25">
      <c r="A13" s="5" t="s">
        <v>326</v>
      </c>
      <c r="B13" s="22"/>
      <c r="C13" s="22"/>
      <c r="D13" s="22">
        <f>IF('02_工况输入'!$C$64=0,"",'02_工况输入'!$C$64)</f>
      </c>
      <c r="E13" s="5" t="s">
        <v>140</v>
      </c>
    </row>
    <row r="14" spans="1:5" x14ac:dyDescent="0.25">
      <c r="A14" s="5" t="s">
        <v>327</v>
      </c>
      <c r="B14" s="22"/>
      <c r="C14" s="22"/>
      <c r="D14" s="22">
        <f>IF('02_工况输入'!$C$65=0,"",'02_工况输入'!$C$65)</f>
      </c>
      <c r="E14" s="5" t="s">
        <v>140</v>
      </c>
    </row>
    <row r="15" spans="1:5" x14ac:dyDescent="0.25">
      <c r="A15" s="5" t="s">
        <v>328</v>
      </c>
      <c r="B15" s="22"/>
      <c r="C15" s="22"/>
      <c r="D15" s="22">
        <f>IF('02_工况输入'!$C$66=0,"",'02_工况输入'!$C$66)</f>
      </c>
      <c r="E15" s="5" t="s">
        <v>96</v>
      </c>
    </row>
    <row r="16" spans="1:5" x14ac:dyDescent="0.25">
      <c r="A16" s="5" t="s">
        <v>329</v>
      </c>
      <c r="B16" s="22"/>
      <c r="C16" s="22"/>
      <c r="D16" s="22">
        <f>IF('02_工况输入'!$C$67=0,"",'02_工况输入'!$C$67)</f>
      </c>
      <c r="E16" s="5" t="s">
        <v>96</v>
      </c>
    </row>
    <row r="17" spans="1:5" x14ac:dyDescent="0.25">
      <c r="A17" s="5" t="s">
        <v>330</v>
      </c>
      <c r="B17" s="24" t="b">
        <f>'02_工况输入'!$C$68</f>
        <v>0</v>
      </c>
      <c r="C17" s="24"/>
      <c r="D17" s="24"/>
      <c r="E17" s="5" t="s">
        <v>331</v>
      </c>
    </row>
    <row r="18" spans="1:5" x14ac:dyDescent="0.25">
      <c r="A18" s="5" t="s">
        <v>332</v>
      </c>
      <c r="B18" s="24" t="str">
        <f>IF(B17&lt;&gt;TRUE,"待厂家确认",IF(OR(B5="",B6="",B10="",B11="",C12="",D12="",D13="",D14="",D15="",D16=""),"待确认",IF(OR(B5&gt;B11,B10&lt;C12,B10&gt;D12,B9&gt;D16),"不适用","已计算")))</f>
        <v>待厂家确认</v>
      </c>
      <c r="C18" s="24"/>
      <c r="D18" s="24"/>
      <c r="E18" s="5" t="s">
        <v>333</v>
      </c>
    </row>
  </sheetData>
  <sheetProtection sheet="1"/>
  <mergeCells count="2">
    <mergeCell ref="A1:E1"/>
    <mergeCell ref="A2:E2"/>
  </mergeCells>
  <conditionalFormatting sqref="B18:B18">
    <cfRule type="containsText" dxfId="8" priority="1">
      <formula>NOT(ISERROR(SEARCH("undefined",B18)))</formula>
    </cfRule>
    <cfRule type="containsText" dxfId="9" priority="2">
      <formula>NOT(ISERROR(SEARCH("undefined",B18)))</formula>
    </cfRule>
    <cfRule type="containsText" dxfId="10" priority="3">
      <formula>NOT(ISERROR(SEARCH("undefined",B18)))</formula>
    </cfRule>
    <cfRule type="containsText" dxfId="11" priority="4">
      <formula>NOT(ISERROR(SEARCH("undefined",B18)))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showGridLines="0" zoomScale="100" zoomScaleNormal="100"/>
  </sheetViews>
  <sheetFormatPr defaultRowHeight="15" outlineLevelRow="0" outlineLevelCol="0" x14ac:dyDescent="0"/>
  <cols>
    <col min="1" max="1" width="30" customWidth="1"/>
    <col min="2" max="2" width="23" customWidth="1"/>
    <col min="3" max="3" width="15" customWidth="1"/>
    <col min="4" max="4" width="52" customWidth="1"/>
  </cols>
  <sheetData>
    <row r="1" ht="34" customHeight="1" spans="1:4" x14ac:dyDescent="0.25">
      <c r="A1" s="1" t="s">
        <v>334</v>
      </c>
      <c r="B1" s="1"/>
      <c r="C1" s="1"/>
      <c r="D1" s="1"/>
    </row>
    <row r="2" ht="28" customHeight="1" spans="1:4" x14ac:dyDescent="0.25">
      <c r="A2" s="2" t="s">
        <v>335</v>
      </c>
      <c r="B2" s="2"/>
      <c r="C2" s="2"/>
      <c r="D2" s="2"/>
    </row>
    <row r="4" ht="30" customHeight="1" spans="1:4" x14ac:dyDescent="0.25">
      <c r="A4" s="3" t="s">
        <v>2</v>
      </c>
      <c r="B4" s="3" t="s">
        <v>75</v>
      </c>
      <c r="C4" s="3" t="s">
        <v>14</v>
      </c>
      <c r="D4" s="3" t="s">
        <v>336</v>
      </c>
    </row>
    <row r="5" spans="1:4" x14ac:dyDescent="0.25">
      <c r="A5" s="4" t="s">
        <v>320</v>
      </c>
      <c r="B5" s="21">
        <f>'03_管路水力'!B5</f>
        <v>8</v>
      </c>
      <c r="C5" s="4" t="s">
        <v>96</v>
      </c>
      <c r="D5" s="4" t="s">
        <v>337</v>
      </c>
    </row>
    <row r="6" spans="1:4" x14ac:dyDescent="0.25">
      <c r="A6" s="5" t="s">
        <v>338</v>
      </c>
      <c r="B6" s="22">
        <f>'02_工况输入'!$C$52</f>
        <v>0</v>
      </c>
      <c r="C6" s="5" t="s">
        <v>196</v>
      </c>
      <c r="D6" s="5" t="s">
        <v>339</v>
      </c>
    </row>
    <row r="7" spans="1:4" x14ac:dyDescent="0.25">
      <c r="A7" s="5" t="s">
        <v>340</v>
      </c>
      <c r="B7" s="22">
        <f>IF('02_工况输入'!$C$53=0,"",'02_工况输入'!$C$53)</f>
      </c>
      <c r="C7" s="5" t="s">
        <v>196</v>
      </c>
      <c r="D7" s="5" t="s">
        <v>341</v>
      </c>
    </row>
    <row r="8" spans="1:4" x14ac:dyDescent="0.25">
      <c r="A8" s="5" t="s">
        <v>342</v>
      </c>
      <c r="B8" s="22">
        <f>IF('02_工况输入'!$C$54=0,"",'02_工况输入'!$C$54)</f>
      </c>
      <c r="C8" s="5" t="s">
        <v>196</v>
      </c>
      <c r="D8" s="5" t="s">
        <v>343</v>
      </c>
    </row>
    <row r="9" spans="1:4" x14ac:dyDescent="0.25">
      <c r="A9" s="5" t="s">
        <v>344</v>
      </c>
      <c r="B9" s="22">
        <f>IF('02_工况输入'!$C$55=0,"",'02_工况输入'!$C$55)</f>
      </c>
      <c r="C9" s="5" t="s">
        <v>206</v>
      </c>
      <c r="D9" s="5"/>
    </row>
    <row r="10" spans="1:4" x14ac:dyDescent="0.25">
      <c r="A10" s="5" t="s">
        <v>321</v>
      </c>
      <c r="B10" s="22">
        <f>IF(OR(B7="",B8=""),"",IF(OR(B7&lt;=B6,B8&lt;B6,B8&gt;=B7),"",B5*(B8-B6)/(B7-B6)))</f>
      </c>
      <c r="C10" s="5" t="s">
        <v>96</v>
      </c>
      <c r="D10" s="5" t="s">
        <v>345</v>
      </c>
    </row>
    <row r="11" spans="1:4" x14ac:dyDescent="0.25">
      <c r="A11" s="5" t="s">
        <v>346</v>
      </c>
      <c r="B11" s="22">
        <f>IF(OR(B5="",B10=""),"",B5-B10)</f>
      </c>
      <c r="C11" s="5" t="s">
        <v>96</v>
      </c>
      <c r="D11" s="5" t="s">
        <v>323</v>
      </c>
    </row>
    <row r="12" spans="1:4" x14ac:dyDescent="0.25">
      <c r="A12" s="5" t="s">
        <v>347</v>
      </c>
      <c r="B12" s="22">
        <f>IF(OR(B10="",B9=""),"",B10*B9/60)</f>
      </c>
      <c r="C12" s="5" t="s">
        <v>209</v>
      </c>
      <c r="D12" s="5" t="s">
        <v>348</v>
      </c>
    </row>
    <row r="13" spans="1:4" x14ac:dyDescent="0.25">
      <c r="A13" s="5" t="s">
        <v>208</v>
      </c>
      <c r="B13" s="22">
        <f>'02_工况输入'!$C$56</f>
        <v>0</v>
      </c>
      <c r="C13" s="5" t="s">
        <v>209</v>
      </c>
      <c r="D13" s="5"/>
    </row>
    <row r="14" spans="1:4" x14ac:dyDescent="0.25">
      <c r="A14" s="5" t="s">
        <v>349</v>
      </c>
      <c r="B14" s="22">
        <f>IF(B12="","",B12+B13)</f>
      </c>
      <c r="C14" s="5" t="s">
        <v>209</v>
      </c>
      <c r="D14" s="5" t="s">
        <v>350</v>
      </c>
    </row>
  </sheetData>
  <sheetProtection sheet="1"/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 zoomScale="100" zoomScaleNormal="100"/>
  </sheetViews>
  <sheetFormatPr defaultRowHeight="15" outlineLevelRow="0" outlineLevelCol="0" x14ac:dyDescent="0"/>
  <cols>
    <col min="1" max="1" width="16" customWidth="1"/>
    <col min="2" max="4" width="22" customWidth="1"/>
    <col min="5" max="5" width="18" customWidth="1"/>
    <col min="6" max="6" width="36" customWidth="1"/>
  </cols>
  <sheetData>
    <row r="1" ht="34" customHeight="1" spans="1:6" x14ac:dyDescent="0.25">
      <c r="A1" s="1" t="s">
        <v>351</v>
      </c>
      <c r="B1" s="1"/>
      <c r="C1" s="1"/>
      <c r="D1" s="1"/>
      <c r="E1" s="1"/>
      <c r="F1" s="1"/>
    </row>
    <row r="2" ht="28" customHeight="1" spans="1:6" x14ac:dyDescent="0.25">
      <c r="A2" s="2" t="s">
        <v>352</v>
      </c>
      <c r="B2" s="2"/>
      <c r="C2" s="2"/>
      <c r="D2" s="2"/>
      <c r="E2" s="2"/>
      <c r="F2" s="2"/>
    </row>
    <row r="4" ht="30" customHeight="1" spans="1:6" x14ac:dyDescent="0.25">
      <c r="A4" s="3" t="s">
        <v>353</v>
      </c>
      <c r="B4" s="3" t="s">
        <v>354</v>
      </c>
      <c r="C4" s="3" t="s">
        <v>355</v>
      </c>
      <c r="D4" s="3" t="s">
        <v>356</v>
      </c>
      <c r="E4" s="3" t="s">
        <v>357</v>
      </c>
      <c r="F4" s="3" t="s">
        <v>4</v>
      </c>
    </row>
    <row r="5" spans="1:6" x14ac:dyDescent="0.25">
      <c r="A5" s="4">
        <v>1</v>
      </c>
      <c r="B5" s="25">
        <f>IF('02_工况输入'!$C$72=0,"",'02_工况输入'!$C$72)</f>
      </c>
      <c r="C5" s="25">
        <f>IF(OR(B5="",'02_工况输入'!$C$71&lt;=0),"",B5*60/(1000*'02_工况输入'!$C$71))</f>
      </c>
      <c r="D5" s="25">
        <f>IF(ROW()-4&lt;=COUNT('02_工况输入'!$C$72:$C$87)/4,SMALL($C$5:$C$20,ROW()-4),"")</f>
      </c>
      <c r="E5" s="4"/>
      <c r="F5" s="4"/>
    </row>
    <row r="6" spans="1:6" x14ac:dyDescent="0.25">
      <c r="A6" s="5">
        <v>2</v>
      </c>
      <c r="B6" s="26">
        <f>IF('02_工况输入'!$C$73=0,"",'02_工况输入'!$C$73)</f>
      </c>
      <c r="C6" s="26">
        <f>IF(OR(B6="",'02_工况输入'!$C$71&lt;=0),"",B6*60/(1000*'02_工况输入'!$C$71))</f>
      </c>
      <c r="D6" s="26">
        <f>IF(ROW()-4&lt;=COUNT('02_工况输入'!$C$72:$C$87)/4,SMALL($C$5:$C$20,ROW()-4),"")</f>
      </c>
      <c r="E6" s="5"/>
      <c r="F6" s="5"/>
    </row>
    <row r="7" spans="1:6" x14ac:dyDescent="0.25">
      <c r="A7" s="5">
        <v>3</v>
      </c>
      <c r="B7" s="26">
        <f>IF('02_工况输入'!$C$74=0,"",'02_工况输入'!$C$74)</f>
      </c>
      <c r="C7" s="26">
        <f>IF(OR(B7="",'02_工况输入'!$C$71&lt;=0),"",B7*60/(1000*'02_工况输入'!$C$71))</f>
      </c>
      <c r="D7" s="26">
        <f>IF(ROW()-4&lt;=COUNT('02_工况输入'!$C$72:$C$87)/4,SMALL($C$5:$C$20,ROW()-4),"")</f>
      </c>
      <c r="E7" s="5"/>
      <c r="F7" s="5"/>
    </row>
    <row r="8" spans="1:6" x14ac:dyDescent="0.25">
      <c r="A8" s="5">
        <v>4</v>
      </c>
      <c r="B8" s="26">
        <f>IF('02_工况输入'!$C$75=0,"",'02_工况输入'!$C$75)</f>
      </c>
      <c r="C8" s="26">
        <f>IF(OR(B8="",'02_工况输入'!$C$71&lt;=0),"",B8*60/(1000*'02_工况输入'!$C$71))</f>
      </c>
      <c r="D8" s="26">
        <f>IF(ROW()-4&lt;=COUNT('02_工况输入'!$C$72:$C$87)/4,SMALL($C$5:$C$20,ROW()-4),"")</f>
      </c>
      <c r="E8" s="5"/>
      <c r="F8" s="5"/>
    </row>
    <row r="9" spans="1:6" x14ac:dyDescent="0.25">
      <c r="A9" s="5">
        <v>5</v>
      </c>
      <c r="B9" s="26">
        <f>IF('02_工况输入'!$C$76=0,"",'02_工况输入'!$C$76)</f>
      </c>
      <c r="C9" s="26">
        <f>IF(OR(B9="",'02_工况输入'!$C$71&lt;=0),"",B9*60/(1000*'02_工况输入'!$C$71))</f>
      </c>
      <c r="D9" s="26">
        <f>IF(ROW()-4&lt;=COUNT('02_工况输入'!$C$72:$C$87)/4,SMALL($C$5:$C$20,ROW()-4),"")</f>
      </c>
      <c r="E9" s="5"/>
      <c r="F9" s="5"/>
    </row>
    <row r="10" spans="1:6" x14ac:dyDescent="0.25">
      <c r="A10" s="5">
        <v>6</v>
      </c>
      <c r="B10" s="26">
        <f>IF('02_工况输入'!$C$77=0,"",'02_工况输入'!$C$77)</f>
      </c>
      <c r="C10" s="26">
        <f>IF(OR(B10="",'02_工况输入'!$C$71&lt;=0),"",B10*60/(1000*'02_工况输入'!$C$71))</f>
      </c>
      <c r="D10" s="26">
        <f>IF(ROW()-4&lt;=COUNT('02_工况输入'!$C$72:$C$87)/4,SMALL($C$5:$C$20,ROW()-4),"")</f>
      </c>
      <c r="E10" s="5"/>
      <c r="F10" s="5"/>
    </row>
    <row r="11" spans="1:6" x14ac:dyDescent="0.25">
      <c r="A11" s="5">
        <v>7</v>
      </c>
      <c r="B11" s="26">
        <f>IF('02_工况输入'!$C$78=0,"",'02_工况输入'!$C$78)</f>
      </c>
      <c r="C11" s="26">
        <f>IF(OR(B11="",'02_工况输入'!$C$71&lt;=0),"",B11*60/(1000*'02_工况输入'!$C$71))</f>
      </c>
      <c r="D11" s="26">
        <f>IF(ROW()-4&lt;=COUNT('02_工况输入'!$C$72:$C$87)/4,SMALL($C$5:$C$20,ROW()-4),"")</f>
      </c>
      <c r="E11" s="5"/>
      <c r="F11" s="5"/>
    </row>
    <row r="12" spans="1:6" x14ac:dyDescent="0.25">
      <c r="A12" s="5">
        <v>8</v>
      </c>
      <c r="B12" s="26">
        <f>IF('02_工况输入'!$C$79=0,"",'02_工况输入'!$C$79)</f>
      </c>
      <c r="C12" s="26">
        <f>IF(OR(B12="",'02_工况输入'!$C$71&lt;=0),"",B12*60/(1000*'02_工况输入'!$C$71))</f>
      </c>
      <c r="D12" s="26">
        <f>IF(ROW()-4&lt;=COUNT('02_工况输入'!$C$72:$C$87)/4,SMALL($C$5:$C$20,ROW()-4),"")</f>
      </c>
      <c r="E12" s="5"/>
      <c r="F12" s="5"/>
    </row>
    <row r="13" spans="1:6" x14ac:dyDescent="0.25">
      <c r="A13" s="5">
        <v>9</v>
      </c>
      <c r="B13" s="26">
        <f>IF('02_工况输入'!$C$80=0,"",'02_工况输入'!$C$80)</f>
      </c>
      <c r="C13" s="26">
        <f>IF(OR(B13="",'02_工况输入'!$C$71&lt;=0),"",B13*60/(1000*'02_工况输入'!$C$71))</f>
      </c>
      <c r="D13" s="26">
        <f>IF(ROW()-4&lt;=COUNT('02_工况输入'!$C$72:$C$87)/4,SMALL($C$5:$C$20,ROW()-4),"")</f>
      </c>
      <c r="E13" s="5"/>
      <c r="F13" s="5"/>
    </row>
    <row r="14" spans="1:6" x14ac:dyDescent="0.25">
      <c r="A14" s="5">
        <v>10</v>
      </c>
      <c r="B14" s="26">
        <f>IF('02_工况输入'!$C$81=0,"",'02_工况输入'!$C$81)</f>
      </c>
      <c r="C14" s="26">
        <f>IF(OR(B14="",'02_工况输入'!$C$71&lt;=0),"",B14*60/(1000*'02_工况输入'!$C$71))</f>
      </c>
      <c r="D14" s="26">
        <f>IF(ROW()-4&lt;=COUNT('02_工况输入'!$C$72:$C$87)/4,SMALL($C$5:$C$20,ROW()-4),"")</f>
      </c>
      <c r="E14" s="5"/>
      <c r="F14" s="5"/>
    </row>
    <row r="15" spans="1:6" x14ac:dyDescent="0.25">
      <c r="A15" s="5">
        <v>11</v>
      </c>
      <c r="B15" s="26">
        <f>IF('02_工况输入'!$C$82=0,"",'02_工况输入'!$C$82)</f>
      </c>
      <c r="C15" s="26">
        <f>IF(OR(B15="",'02_工况输入'!$C$71&lt;=0),"",B15*60/(1000*'02_工况输入'!$C$71))</f>
      </c>
      <c r="D15" s="26">
        <f>IF(ROW()-4&lt;=COUNT('02_工况输入'!$C$72:$C$87)/4,SMALL($C$5:$C$20,ROW()-4),"")</f>
      </c>
      <c r="E15" s="5"/>
      <c r="F15" s="5"/>
    </row>
    <row r="16" spans="1:6" x14ac:dyDescent="0.25">
      <c r="A16" s="5">
        <v>12</v>
      </c>
      <c r="B16" s="26">
        <f>IF('02_工况输入'!$C$83=0,"",'02_工况输入'!$C$83)</f>
      </c>
      <c r="C16" s="26">
        <f>IF(OR(B16="",'02_工况输入'!$C$71&lt;=0),"",B16*60/(1000*'02_工况输入'!$C$71))</f>
      </c>
      <c r="D16" s="26">
        <f>IF(ROW()-4&lt;=COUNT('02_工况输入'!$C$72:$C$87)/4,SMALL($C$5:$C$20,ROW()-4),"")</f>
      </c>
      <c r="E16" s="5"/>
      <c r="F16" s="5"/>
    </row>
    <row r="17" spans="1:6" x14ac:dyDescent="0.25">
      <c r="A17" s="5">
        <v>13</v>
      </c>
      <c r="B17" s="26">
        <f>IF('02_工况输入'!$C$84=0,"",'02_工况输入'!$C$84)</f>
      </c>
      <c r="C17" s="26">
        <f>IF(OR(B17="",'02_工况输入'!$C$71&lt;=0),"",B17*60/(1000*'02_工况输入'!$C$71))</f>
      </c>
      <c r="D17" s="26">
        <f>IF(ROW()-4&lt;=COUNT('02_工况输入'!$C$72:$C$87)/4,SMALL($C$5:$C$20,ROW()-4),"")</f>
      </c>
      <c r="E17" s="5"/>
      <c r="F17" s="5"/>
    </row>
    <row r="18" spans="1:6" x14ac:dyDescent="0.25">
      <c r="A18" s="5">
        <v>14</v>
      </c>
      <c r="B18" s="26">
        <f>IF('02_工况输入'!$C$85=0,"",'02_工况输入'!$C$85)</f>
      </c>
      <c r="C18" s="26">
        <f>IF(OR(B18="",'02_工况输入'!$C$71&lt;=0),"",B18*60/(1000*'02_工况输入'!$C$71))</f>
      </c>
      <c r="D18" s="26">
        <f>IF(ROW()-4&lt;=COUNT('02_工况输入'!$C$72:$C$87)/4,SMALL($C$5:$C$20,ROW()-4),"")</f>
      </c>
      <c r="E18" s="5"/>
      <c r="F18" s="5"/>
    </row>
    <row r="19" spans="1:6" x14ac:dyDescent="0.25">
      <c r="A19" s="5">
        <v>15</v>
      </c>
      <c r="B19" s="26">
        <f>IF('02_工况输入'!$C$86=0,"",'02_工况输入'!$C$86)</f>
      </c>
      <c r="C19" s="26">
        <f>IF(OR(B19="",'02_工况输入'!$C$71&lt;=0),"",B19*60/(1000*'02_工况输入'!$C$71))</f>
      </c>
      <c r="D19" s="26">
        <f>IF(ROW()-4&lt;=COUNT('02_工况输入'!$C$72:$C$87)/4,SMALL($C$5:$C$20,ROW()-4),"")</f>
      </c>
      <c r="E19" s="5"/>
      <c r="F19" s="5"/>
    </row>
    <row r="20" spans="1:6" x14ac:dyDescent="0.25">
      <c r="A20" s="5">
        <v>16</v>
      </c>
      <c r="B20" s="26">
        <f>IF('02_工况输入'!$C$87=0,"",'02_工况输入'!$C$87)</f>
      </c>
      <c r="C20" s="26">
        <f>IF(OR(B20="",'02_工况输入'!$C$71&lt;=0),"",B20*60/(1000*'02_工况输入'!$C$71))</f>
      </c>
      <c r="D20" s="26">
        <f>IF(ROW()-4&lt;=COUNT('02_工况输入'!$C$72:$C$87)/4,SMALL($C$5:$C$20,ROW()-4),"")</f>
      </c>
      <c r="E20" s="5"/>
      <c r="F20" s="5"/>
    </row>
    <row r="23" spans="1:6" x14ac:dyDescent="0.25">
      <c r="A23" s="6" t="s">
        <v>358</v>
      </c>
      <c r="B23" s="7"/>
      <c r="C23" s="7"/>
      <c r="D23" s="7"/>
      <c r="E23" s="7"/>
      <c r="F23" s="7"/>
    </row>
    <row r="24" spans="1:6" x14ac:dyDescent="0.25">
      <c r="A24" s="4" t="s">
        <v>297</v>
      </c>
      <c r="B24" s="27">
        <f>'03_管路水力'!B21</f>
        <v>0.6644468462342412</v>
      </c>
      <c r="C24" s="4" t="s">
        <v>209</v>
      </c>
      <c r="D24" s="4"/>
      <c r="E24" s="4"/>
      <c r="F24" s="4" t="s">
        <v>359</v>
      </c>
    </row>
    <row r="25" spans="1:6" x14ac:dyDescent="0.25">
      <c r="A25" s="5" t="s">
        <v>238</v>
      </c>
      <c r="B25" s="24">
        <f>IF('02_工况输入'!$C$70=0,"",'02_工况输入'!$C$70)</f>
      </c>
      <c r="C25" s="5" t="s">
        <v>96</v>
      </c>
      <c r="D25" s="5"/>
      <c r="E25" s="5"/>
      <c r="F25" s="5" t="s">
        <v>360</v>
      </c>
    </row>
    <row r="26" spans="1:6" x14ac:dyDescent="0.25">
      <c r="A26" s="5" t="s">
        <v>361</v>
      </c>
      <c r="B26" s="24">
        <f>IF(OR(B24="",B25&lt;=0),"",B24/B25*60)</f>
      </c>
      <c r="C26" s="5" t="s">
        <v>206</v>
      </c>
      <c r="D26" s="5"/>
      <c r="E26" s="5"/>
      <c r="F26" s="5" t="s">
        <v>362</v>
      </c>
    </row>
    <row r="27" spans="1:6" x14ac:dyDescent="0.25">
      <c r="A27" s="5" t="s">
        <v>363</v>
      </c>
      <c r="B27" s="24">
        <f>IF(COUNT('02_工况输入'!$C$72:$C$87)&lt;4,"",AVERAGE(C5:C20))</f>
      </c>
      <c r="C27" s="5" t="s">
        <v>96</v>
      </c>
      <c r="D27" s="5"/>
      <c r="E27" s="5"/>
      <c r="F27" s="5"/>
    </row>
    <row r="28" spans="1:6" x14ac:dyDescent="0.25">
      <c r="A28" s="5" t="s">
        <v>364</v>
      </c>
      <c r="B28" s="24">
        <f>IF(OR(COUNT('02_工况输入'!$C$72:$C$87)&lt;4,MOD(COUNT('02_工况输入'!$C$72:$C$87),4)&lt;&gt;0),"",AVERAGE(D5:D20))</f>
      </c>
      <c r="C28" s="5" t="s">
        <v>96</v>
      </c>
      <c r="D28" s="5"/>
      <c r="E28" s="28">
        <f>IF(OR(B27="",B28=""),"",B28/B27)</f>
      </c>
      <c r="F28" s="5" t="s">
        <v>365</v>
      </c>
    </row>
  </sheetData>
  <sheetProtection sheet="1"/>
  <mergeCells count="3">
    <mergeCell ref="A1:F1"/>
    <mergeCell ref="A2:F2"/>
    <mergeCell ref="A23:F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showGridLines="0" zoomScale="100" zoomScaleNormal="100"/>
  </sheetViews>
  <sheetFormatPr defaultRowHeight="15" outlineLevelRow="0" outlineLevelCol="0" x14ac:dyDescent="0"/>
  <cols>
    <col min="1" max="1" width="30" customWidth="1"/>
    <col min="2" max="2" width="24" customWidth="1"/>
    <col min="3" max="3" width="12" customWidth="1"/>
    <col min="4" max="4" width="17" customWidth="1"/>
    <col min="5" max="5" width="44" customWidth="1"/>
  </cols>
  <sheetData>
    <row r="1" ht="34" customHeight="1" spans="1:5" x14ac:dyDescent="0.25">
      <c r="A1" s="1" t="s">
        <v>366</v>
      </c>
      <c r="B1" s="1"/>
      <c r="C1" s="1"/>
      <c r="D1" s="1"/>
      <c r="E1" s="1"/>
    </row>
    <row r="2" ht="28" customHeight="1" spans="1:5" x14ac:dyDescent="0.25">
      <c r="A2" s="2" t="s">
        <v>367</v>
      </c>
      <c r="B2" s="2"/>
      <c r="C2" s="2"/>
      <c r="D2" s="2"/>
      <c r="E2" s="2"/>
    </row>
    <row r="4" ht="30" customHeight="1" spans="1:5" x14ac:dyDescent="0.25">
      <c r="A4" s="3" t="s">
        <v>368</v>
      </c>
      <c r="B4" s="3" t="s">
        <v>358</v>
      </c>
      <c r="C4" s="3" t="s">
        <v>14</v>
      </c>
      <c r="D4" s="3" t="s">
        <v>76</v>
      </c>
      <c r="E4" s="3" t="s">
        <v>369</v>
      </c>
    </row>
    <row r="5" spans="1:5" x14ac:dyDescent="0.25">
      <c r="A5" s="4" t="s">
        <v>370</v>
      </c>
      <c r="B5" s="21">
        <f>'03_管路水力'!B5</f>
        <v>8</v>
      </c>
      <c r="C5" s="27" t="s">
        <v>96</v>
      </c>
      <c r="D5" s="27" t="str">
        <f>IF(B5="","待确认",IF(OR(B5="不适用",B5="待厂家确认",B5="待确认"),B5,"已计算"))</f>
        <v>已计算</v>
      </c>
      <c r="E5" s="4" t="s">
        <v>371</v>
      </c>
    </row>
    <row r="6" spans="1:5" x14ac:dyDescent="0.25">
      <c r="A6" s="5" t="s">
        <v>372</v>
      </c>
      <c r="B6" s="22">
        <f>'03_管路水力'!B21</f>
        <v>0.6644468462342412</v>
      </c>
      <c r="C6" s="24" t="s">
        <v>209</v>
      </c>
      <c r="D6" s="24" t="str">
        <f>IF(B6="","待确认",IF(OR(B6="不适用",B6="待厂家确认",B6="待确认"),B6,"已计算"))</f>
        <v>已计算</v>
      </c>
      <c r="E6" s="5" t="s">
        <v>373</v>
      </c>
    </row>
    <row r="7" spans="1:5" x14ac:dyDescent="0.25">
      <c r="A7" s="5" t="s">
        <v>374</v>
      </c>
      <c r="B7" s="22">
        <f>'04_A路压力预算'!B10</f>
      </c>
      <c r="C7" s="24" t="s">
        <v>140</v>
      </c>
      <c r="D7" s="24" t="str">
        <f>IF(B7="","待确认",IF(OR(B7="不适用",B7="待厂家确认",B7="待确认"),B7,"已计算"))</f>
        <v>待确认</v>
      </c>
      <c r="E7" s="5" t="s">
        <v>375</v>
      </c>
    </row>
    <row r="8" spans="1:5" x14ac:dyDescent="0.25">
      <c r="A8" s="5" t="s">
        <v>376</v>
      </c>
      <c r="B8" s="22">
        <f>'04_A路压力预算'!C10</f>
      </c>
      <c r="C8" s="24" t="s">
        <v>140</v>
      </c>
      <c r="D8" s="24" t="str">
        <f>IF(B8="","待确认",IF(OR(B8="不适用",B8="待厂家确认",B8="待确认"),B8,"已计算"))</f>
        <v>待确认</v>
      </c>
      <c r="E8" s="5" t="s">
        <v>377</v>
      </c>
    </row>
    <row r="9" spans="1:5" x14ac:dyDescent="0.25">
      <c r="A9" s="5" t="s">
        <v>378</v>
      </c>
      <c r="B9" s="22">
        <f>IF('05_B路与文丘里'!B18&lt;&gt;"已计算","",'05_B路与文丘里'!B7)</f>
      </c>
      <c r="C9" s="24" t="s">
        <v>140</v>
      </c>
      <c r="D9" s="24" t="str">
        <f>IF(B9="","待确认",IF(OR(B9="不适用",B9="待厂家确认",B9="待确认"),B9,"已计算"))</f>
        <v>待确认</v>
      </c>
      <c r="E9" s="5" t="s">
        <v>379</v>
      </c>
    </row>
    <row r="10" spans="1:5" x14ac:dyDescent="0.25">
      <c r="A10" s="5" t="s">
        <v>332</v>
      </c>
      <c r="B10" s="22" t="str">
        <f>'05_B路与文丘里'!B18</f>
        <v>待厂家确认</v>
      </c>
      <c r="C10" s="24"/>
      <c r="D10" s="24" t="str">
        <f>IF(B10="","待确认",IF(OR(B10="不适用",B10="待厂家确认",B10="待确认"),B10,"已计算"))</f>
        <v>待厂家确认</v>
      </c>
      <c r="E10" s="5" t="s">
        <v>380</v>
      </c>
    </row>
    <row r="11" spans="1:5" x14ac:dyDescent="0.25">
      <c r="A11" s="5" t="s">
        <v>349</v>
      </c>
      <c r="B11" s="22">
        <f>IF('06_肥液与桶'!B10="","",'06_肥液与桶'!B14)</f>
      </c>
      <c r="C11" s="24" t="s">
        <v>209</v>
      </c>
      <c r="D11" s="24" t="str">
        <f>IF(B11="","待确认",IF(OR(B11="不适用",B11="待厂家确认",B11="待确认"),B11,"已计算"))</f>
        <v>待确认</v>
      </c>
      <c r="E11" s="5" t="s">
        <v>381</v>
      </c>
    </row>
    <row r="12" spans="1:5" x14ac:dyDescent="0.25">
      <c r="A12" s="5" t="s">
        <v>361</v>
      </c>
      <c r="B12" s="22">
        <f>'07_冲洗与均匀度'!B26</f>
      </c>
      <c r="C12" s="24" t="s">
        <v>206</v>
      </c>
      <c r="D12" s="24" t="str">
        <f>IF(B12="","待确认",IF(OR(B12="不适用",B12="待厂家确认",B12="待确认"),B12,"已计算"))</f>
        <v>待确认</v>
      </c>
      <c r="E12" s="5" t="s">
        <v>382</v>
      </c>
    </row>
    <row r="13" spans="1:5" x14ac:dyDescent="0.25">
      <c r="A13" s="5" t="s">
        <v>383</v>
      </c>
      <c r="B13" s="29">
        <f>IF(COUNT('02_工况输入'!$C$72:$C$87)&lt;4,"",'07_冲洗与均匀度'!E28)</f>
      </c>
      <c r="C13" s="24" t="s">
        <v>365</v>
      </c>
      <c r="D13" s="24" t="str">
        <f>IF(B13="","待确认",IF(OR(B13="不适用",B13="待厂家确认",B13="待确认"),B13,"已计算"))</f>
        <v>待确认</v>
      </c>
      <c r="E13" s="5" t="s">
        <v>384</v>
      </c>
    </row>
    <row r="16" spans="1:5" x14ac:dyDescent="0.25">
      <c r="A16" s="30" t="s">
        <v>385</v>
      </c>
      <c r="B16" s="7"/>
      <c r="C16" s="7"/>
      <c r="D16" s="7"/>
      <c r="E16" s="7"/>
    </row>
    <row r="17" spans="1:5" x14ac:dyDescent="0.25">
      <c r="A17" s="4" t="s">
        <v>386</v>
      </c>
      <c r="B17" s="4" t="s">
        <v>387</v>
      </c>
      <c r="C17" s="4"/>
      <c r="D17" s="4"/>
      <c r="E17" s="4"/>
    </row>
    <row r="18" spans="1:5" x14ac:dyDescent="0.25">
      <c r="A18" s="5" t="s">
        <v>388</v>
      </c>
      <c r="B18" s="5" t="s">
        <v>389</v>
      </c>
      <c r="C18" s="5"/>
      <c r="D18" s="5"/>
      <c r="E18" s="5"/>
    </row>
  </sheetData>
  <sheetProtection sheet="1"/>
  <mergeCells count="5">
    <mergeCell ref="A1:E1"/>
    <mergeCell ref="A2:E2"/>
    <mergeCell ref="A16:E16"/>
    <mergeCell ref="B17:E17"/>
    <mergeCell ref="B18:E18"/>
  </mergeCells>
  <conditionalFormatting sqref="D5:D13">
    <cfRule type="containsText" dxfId="12" priority="1">
      <formula>NOT(ISERROR(SEARCH("undefined",D5)))</formula>
    </cfRule>
    <cfRule type="containsText" dxfId="13" priority="2">
      <formula>NOT(ISERROR(SEARCH("undefined",D5)))</formula>
    </cfRule>
    <cfRule type="containsText" dxfId="14" priority="3">
      <formula>NOT(ISERROR(SEARCH("undefined",D5)))</formula>
    </cfRule>
    <cfRule type="containsText" dxfId="15" priority="4">
      <formula>NOT(ISERROR(SEARCH("undefined",D5)))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7" t="s">
        <v>390</v>
      </c>
    </row>
    <row r="2" spans="1:1" x14ac:dyDescent="0.25">
      <c r="A2" s="7" t="s">
        <v>391</v>
      </c>
    </row>
    <row r="3" spans="1:1" x14ac:dyDescent="0.25">
      <c r="A3" s="7" t="s">
        <v>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00_使用说明</vt:lpstr>
      <vt:lpstr>01_当前设计基准</vt:lpstr>
      <vt:lpstr>02_工况输入</vt:lpstr>
      <vt:lpstr>03_管路水力</vt:lpstr>
      <vt:lpstr>04_A路压力预算</vt:lpstr>
      <vt:lpstr>05_B路与文丘里</vt:lpstr>
      <vt:lpstr>06_肥液与桶</vt:lpstr>
      <vt:lpstr>07_冲洗与均匀度</vt:lpstr>
      <vt:lpstr>08_结果摘要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Unknown</cp:lastModifiedBy>
  <dcterms:created xsi:type="dcterms:W3CDTF">2026-07-23T17:46:29Z</dcterms:created>
  <dcterms:modified xsi:type="dcterms:W3CDTF">2026-07-23T16:00:00Z</dcterms:modified>
</cp:coreProperties>
</file>