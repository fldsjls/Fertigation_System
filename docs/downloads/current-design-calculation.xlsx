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使用说明" state="visible" r:id="rId4"/>
    <sheet sheetId="2" name="01_当前设计基准" state="visible" r:id="rId5"/>
    <sheet sheetId="3" name="02_工况输入" state="visible" r:id="rId6"/>
    <sheet sheetId="4" name="03_管路水力" state="visible" r:id="rId7"/>
    <sheet sheetId="5" name="04_A路压力预算" state="visible" r:id="rId8"/>
    <sheet sheetId="6" name="05_B路与文丘里" state="visible" r:id="rId9"/>
    <sheet sheetId="7" name="06_肥液与桶" state="visible" r:id="rId10"/>
    <sheet sheetId="8" name="07_冲洗与均匀度" state="visible" r:id="rId11"/>
    <sheet sheetId="9" name="08_结果摘要" state="visible" r:id="rId12"/>
    <sheet sheetId="10" name="_meta" state="veryHidden" r:id="rId13"/>
    <sheet sheetId="11" name="09_喷灌与模式" state="visible" r:id="rId14"/>
  </sheets>
  <definedNames>
    <definedName name="记录信息">'02_工况输入'!$C$5</definedName>
    <definedName name="scenarioName">'02_工况输入'!$C$6</definedName>
    <definedName name="scenarioDate">'02_工况输入'!$C$7</definedName>
    <definedName name="operator">'02_工况输入'!$C$8</definedName>
    <definedName name="系统与清水参数">'02_工况输入'!$C$9</definedName>
    <definedName name="emitterCount">'02_工况输入'!$C$10</definedName>
    <definedName name="emitterFlowLph">'02_工况输入'!$C$11</definedName>
    <definedName name="densityKgM3">'02_工况输入'!$C$12</definedName>
    <definedName name="kinematicViscosityM2s">'02_工况输入'!$C$13</definedName>
    <definedName name="主管">'02_工况输入'!$C$14</definedName>
    <definedName name="mainInnerDiameterMm">'02_工况输入'!$C$15</definedName>
    <definedName name="mainOuterDiameterMm">'02_工况输入'!$C$16</definedName>
    <definedName name="mainLengthM">'02_工况输入'!$C$17</definedName>
    <definedName name="mainRoughnessMm">'02_工况输入'!$C$18</definedName>
    <definedName name="mainLocalK">'02_工况输入'!$C$19</definedName>
    <definedName name="代表性支管">'02_工况输入'!$C$20</definedName>
    <definedName name="lateralInnerDiameterMm">'02_工况输入'!$C$21</definedName>
    <definedName name="lateralOuterDiameterMm">'02_工况输入'!$C$22</definedName>
    <definedName name="lateralLengthM">'02_工况输入'!$C$23</definedName>
    <definedName name="lateralRoughnessMm">'02_工况输入'!$C$24</definedName>
    <definedName name="lateralLocalK">'02_工况输入'!$C$25</definedName>
    <definedName name="动态压力与滴头">'02_工况输入'!$C$26</definedName>
    <definedName name="sourceDynamicMpa">'02_工况输入'!$C$27</definedName>
    <definedName name="fieldP0Mpa">'02_工况输入'!$C$28</definedName>
    <definedName name="fieldP1Mpa">'02_工况输入'!$C$29</definedName>
    <definedName name="fieldP2Mpa">'02_工况输入'!$C$30</definedName>
    <definedName name="fieldP3Mpa">'02_工况输入'!$C$31</definedName>
    <definedName name="heightDifferenceM">'02_工况输入'!$C$32</definedName>
    <definedName name="downstreamLossMpa">'02_工况输入'!$C$33</definedName>
    <definedName name="emitterMinPressureMpa">'02_工况输入'!$C$34</definedName>
    <definedName name="emitterMaxPressureMpa">'02_工况输入'!$C$35</definedName>
    <definedName name="减压阀与公共部件">'02_工况输入'!$C$36</definedName>
    <definedName name="regulatorSetMpa">'02_工况输入'!$C$37</definedName>
    <definedName name="regulatorMinDifferentialMpa">'02_工况输入'!$C$38</definedName>
    <definedName name="backflowLossMpa">'02_工况输入'!$C$39</definedName>
    <definedName name="filterCleanLossMpa">'02_工况输入'!$C$40</definedName>
    <definedName name="filterDirtyLossMpa">'02_工况输入'!$C$41</definedName>
    <definedName name="A路部件">'02_工况输入'!$C$42</definedName>
    <definedName name="controllerALossMpa">'02_工况输入'!$C$43</definedName>
    <definedName name="checkALossMpa">'02_工况输入'!$C$44</definedName>
    <definedName name="fittingsALossMpa">'02_工况输入'!$C$45</definedName>
    <definedName name="B路部件">'02_工况输入'!$C$46</definedName>
    <definedName name="controllerBLossMpa">'02_工况输入'!$C$47</definedName>
    <definedName name="venturiLossMpa">'02_工况输入'!$C$48</definedName>
    <definedName name="checkBLossMpa">'02_工况输入'!$C$49</definedName>
    <definedName name="fittingsBLossMpa">'02_工况输入'!$C$50</definedName>
    <definedName name="肥液">'02_工况输入'!$C$51</definedName>
    <definedName name="waterConcentration">'02_工况输入'!$C$52</definedName>
    <definedName name="motherConcentration">'02_工况输入'!$C$53</definedName>
    <definedName name="targetConcentration">'02_工况输入'!$C$54</definedName>
    <definedName name="fertigationDurationMinutes">'02_工况输入'!$C$55</definedName>
    <definedName name="unusableResidualL">'02_工况输入'!$C$56</definedName>
    <definedName name="measuredSuctionLph">'02_工况输入'!$C$57</definedName>
    <definedName name="文丘里厂家工况">'02_工况输入'!$C$58</definedName>
    <definedName name="venturiModel">'02_工况输入'!$C$59</definedName>
    <definedName name="venturiSourceReference">'02_工况输入'!$C$60</definedName>
    <definedName name="venturiMaxPressureMpa">'02_工况输入'!$C$61</definedName>
    <definedName name="venturiMinMotiveLph">'02_工况输入'!$C$62</definedName>
    <definedName name="venturiMaxMotiveLph">'02_工况输入'!$C$63</definedName>
    <definedName name="venturiCurveP1Mpa">'02_工况输入'!$C$64</definedName>
    <definedName name="venturiCurveP2Mpa">'02_工况输入'!$C$65</definedName>
    <definedName name="venturiCurveMotiveLph">'02_工况输入'!$C$66</definedName>
    <definedName name="venturiCurveSuctionLph">'02_工况输入'!$C$67</definedName>
    <definedName name="venturiCurveConfirmed">'02_工况输入'!$C$68</definedName>
    <definedName name="冲洗与均匀度">'02_工况输入'!$C$69</definedName>
    <definedName name="actualFlushFlowLph">'02_工况输入'!$C$70</definedName>
    <definedName name="collectionMinutes">'02_工况输入'!$C$71</definedName>
    <definedName name="sampleVolumeMl1">'02_工况输入'!$C$72</definedName>
    <definedName name="sampleVolumeMl2">'02_工况输入'!$C$73</definedName>
    <definedName name="sampleVolumeMl3">'02_工况输入'!$C$74</definedName>
    <definedName name="sampleVolumeMl4">'02_工况输入'!$C$75</definedName>
    <definedName name="sampleVolumeMl5">'02_工况输入'!$C$76</definedName>
    <definedName name="sampleVolumeMl6">'02_工况输入'!$C$77</definedName>
    <definedName name="sampleVolumeMl7">'02_工况输入'!$C$78</definedName>
    <definedName name="sampleVolumeMl8">'02_工况输入'!$C$79</definedName>
    <definedName name="sampleVolumeMl9">'02_工况输入'!$C$80</definedName>
    <definedName name="sampleVolumeMl10">'02_工况输入'!$C$81</definedName>
    <definedName name="sampleVolumeMl11">'02_工况输入'!$C$82</definedName>
    <definedName name="sampleVolumeMl12">'02_工况输入'!$C$83</definedName>
    <definedName name="sampleVolumeMl13">'02_工况输入'!$C$84</definedName>
    <definedName name="sampleVolumeMl14">'02_工况输入'!$C$85</definedName>
    <definedName name="sampleVolumeMl15">'02_工况输入'!$C$86</definedName>
    <definedName name="sampleVolumeMl16">'02_工况输入'!$C$87</definedName>
    <definedName name="运行模式与喷灌">'02_工况输入'!$C$88</definedName>
    <definedName name="operatingMode">'02_工况输入'!$C$89</definedName>
    <definedName name="sprayNozzleCount">'02_工况输入'!$C$90</definedName>
    <definedName name="sprayNozzleFlowLph">'02_工况输入'!$C$91</definedName>
    <definedName name="sprayPipeInnerDiameterMm">'02_工况输入'!$C$92</definedName>
    <definedName name="sprayPipeOuterDiameterMm">'02_工况输入'!$C$93</definedName>
    <definedName name="sprayPipeLengthM">'02_工况输入'!$C$94</definedName>
    <definedName name="sprayPipeRoughnessMm">'02_工况输入'!$C$95</definedName>
    <definedName name="sprayPipeLocalK">'02_工况输入'!$C$96</definedName>
    <definedName name="sprayHeightDifferenceM">'02_工况输入'!$C$97</definedName>
    <definedName name="fieldP4Mpa">'02_工况输入'!$C$98</definedName>
    <definedName name="fieldP5Mpa">'02_工况输入'!$C$99</definedName>
    <definedName name="sprayNozzleMinPressureMpa">'02_工况输入'!$C$100</definedName>
    <definedName name="sprayNozzleMaxPressureMpa">'02_工况输入'!$C$101</definedName>
    <definedName name="sprayDownstreamLossMpa">'02_工况输入'!$C$102</definedName>
    <definedName name="dripValveLossMpa">'02_工况输入'!$C$103</definedName>
    <definedName name="sprayValveLossMpa">'02_工况输入'!$C$104</definedName>
    <definedName name="sprayFilterLossMpa">'02_工况输入'!$C$105</definedName>
    <definedName name="sprayRegulatorSetMpa">'02_工况输入'!$C$106</definedName>
    <definedName name="sprayRegulatorMinDifferentialMpa">'02_工况输入'!$C$107</definedName>
    <definedName name="sprayFittingsLossMpa">'02_工况输入'!$C$108</definedName>
    <definedName name="喷药液与喷灌文丘里工况">'02_工况输入'!$C$109</definedName>
    <definedName name="sprayFieldP1Mpa">'02_工况输入'!$C$110</definedName>
    <definedName name="sprayFieldP2Mpa">'02_工况输入'!$C$111</definedName>
    <definedName name="pesticideWaterConcentration">'02_工况输入'!$C$112</definedName>
    <definedName name="pesticideMotherConcentration">'02_工况输入'!$C$113</definedName>
    <definedName name="pesticideTargetConcentration">'02_工况输入'!$C$114</definedName>
    <definedName name="pesticideDurationMinutes">'02_工况输入'!$C$115</definedName>
    <definedName name="pesticideUnusableResidualL">'02_工况输入'!$C$116</definedName>
    <definedName name="measuredPesticideSuctionLph">'02_工况输入'!$C$117</definedName>
    <definedName name="pesticideLabelReference">'02_工况输入'!$C$118</definedName>
    <definedName name="pesticideMethodConfirmed">'02_工况输入'!$C$119</definedName>
    <definedName name="sprayVenturiCurveP1Mpa">'02_工况输入'!$C$120</definedName>
    <definedName name="sprayVenturiCurveP2Mpa">'02_工况输入'!$C$121</definedName>
    <definedName name="sprayVenturiCurveMotiveLph">'02_工况输入'!$C$122</definedName>
    <definedName name="sprayVenturiCurveSuctionLph">'02_工况输入'!$C$123</definedName>
    <definedName name="sprayVenturiCurveConfirmed">'02_工况输入'!$C$124</definedName>
    <definedName name="actualSprayFlushFlowLph">'02_工况输入'!$C$125</definedName>
    <definedName name="bypassDifferentialMpa">'02_工况输入'!$C$48</definedName>
    <definedName name="v5压差旁路与OD12节点">'02_工况输入'!$C$126</definedName>
    <definedName name="actualVenturiMotiveLph">'02_工况输入'!$C$127</definedName>
    <definedName name="sprayActualVenturiMotiveLph">'02_工况输入'!$C$128</definedName>
    <definedName name="nodeBranchInnerDiameterMm">'02_工况输入'!$C$129</definedName>
    <definedName name="nodeBranchOuterDiameterMm">'02_工况输入'!$C$130</definedName>
    <definedName name="nodeBranchLengthM">'02_工况输入'!$C$131</definedName>
    <definedName name="nodeBranchRoughnessMm">'02_工况输入'!$C$132</definedName>
    <definedName name="nodeBranchLocalK">'02_工况输入'!$C$133</definedName>
  </definedNames>
  <calcPr calcId="171027" fullCalcOnLoad="1"/>
</workbook>
</file>

<file path=xl/sharedStrings.xml><?xml version="1.0" encoding="utf-8"?>
<sst xmlns="http://schemas.openxmlformats.org/spreadsheetml/2006/main" count="900" uniqueCount="589">
  <si>
    <t>双液源双末端系统 · 独立工程计算工作簿</t>
  </si>
  <si>
    <t>Excel 2016兼容 · 无宏 · 无外部链接 · 黄色为现场输入 · 蓝色为设计同步值 · 灰色为公式</t>
  </si>
  <si>
    <t>项目</t>
  </si>
  <si>
    <t>当前值</t>
  </si>
  <si>
    <t>说明</t>
  </si>
  <si>
    <t>工作簿版本</t>
  </si>
  <si>
    <t>2.1.0</t>
  </si>
  <si>
    <t>生成器据此判断是否可安全同步</t>
  </si>
  <si>
    <t>设计版本</t>
  </si>
  <si>
    <t>2026-07-25-v5</t>
  </si>
  <si>
    <t>同步后自动更新</t>
  </si>
  <si>
    <t>计算模型</t>
  </si>
  <si>
    <t>A路清水直通；B路T1/T2压差旁路；L型末端二选一；5个滴灌节点/10只PC滴头；5个喷淋点。</t>
  </si>
  <si>
    <t>不求解任意分支网络</t>
  </si>
  <si>
    <t>单位</t>
  </si>
  <si>
    <t>L/h、MPa、mm、m、kg/m³、m²/s</t>
  </si>
  <si>
    <t>所有输入使用固定单位</t>
  </si>
  <si>
    <t>边界</t>
  </si>
  <si>
    <t>计算结果不等于工程验收</t>
  </si>
  <si>
    <t>缺少厂家曲线或动态压力时保持待确认</t>
  </si>
  <si>
    <t>工况</t>
  </si>
  <si>
    <t>V4双液源双末端边界工况</t>
  </si>
  <si>
    <t>仅用于警示文丘里最低流量风险</t>
  </si>
  <si>
    <t>使用顺序</t>
  </si>
  <si>
    <t>1</t>
  </si>
  <si>
    <t>先在“02_工况输入”填写黄色单元格。</t>
  </si>
  <si>
    <t>2</t>
  </si>
  <si>
    <t>A路、B路分别记录运行时动态压力；P1和P2只在B路稳定运行时读取。</t>
  </si>
  <si>
    <t>3</t>
  </si>
  <si>
    <t>文丘里须分别核对滴灌施肥与上空喷药的P1/P2、驱动流量和厂家曲线。</t>
  </si>
  <si>
    <t>4</t>
  </si>
  <si>
    <t>滴灌冲洗按末端水质恢复；喷药清水置换按喷灌管内容积并计入标签允许载水量。</t>
  </si>
  <si>
    <t>5</t>
  </si>
  <si>
    <t>“08_结果摘要”和“09_喷灌与模式”用于打印归档；空输入不会被自动编造。</t>
  </si>
  <si>
    <t>当前设计基准（自动同步）</t>
  </si>
  <si>
    <t>蓝色区域来自接口规格事实层。不要在本页修改候选接口或管径；请回到 system-interfaces.xlsx。</t>
  </si>
  <si>
    <t>设计项</t>
  </si>
  <si>
    <t>状态/说明</t>
  </si>
  <si>
    <t>来自接口规格工作簿</t>
  </si>
  <si>
    <t>核对日期</t>
  </si>
  <si>
    <t>2026-07-25</t>
  </si>
  <si>
    <t>事实层核对日期</t>
  </si>
  <si>
    <t>权威拓扑</t>
  </si>
  <si>
    <t>水源→倒流防止器→过滤器→A/B互斥→合流→L型三通选择滴灌/喷淋</t>
  </si>
  <si>
    <t>B路在T1/T2之间并联减压主路与文丘里旁路；两路同时通水</t>
  </si>
  <si>
    <t>主水路候选接口</t>
  </si>
  <si>
    <t>G1/2（俗称4分）</t>
  </si>
  <si>
    <t>内牙/外牙及密封待厂家确认</t>
  </si>
  <si>
    <t>测压口候选接口</t>
  </si>
  <si>
    <t>G1/4（俗称2分）</t>
  </si>
  <si>
    <t>P0–P5端口形式待厂家确认</t>
  </si>
  <si>
    <t>过滤等级</t>
  </si>
  <si>
    <t>120目</t>
  </si>
  <si>
    <t>厂家标称微米待确认</t>
  </si>
  <si>
    <t>主管</t>
  </si>
  <si>
    <t>9/12 mm</t>
  </si>
  <si>
    <t>内径/外径</t>
  </si>
  <si>
    <t>节点支管</t>
  </si>
  <si>
    <t>待确认/12 mm</t>
  </si>
  <si>
    <t>OD12可更换PE支管；5段</t>
  </si>
  <si>
    <t>滴箭毛管</t>
  </si>
  <si>
    <t>3/5 mm</t>
  </si>
  <si>
    <t>3/5内径/外径；10条</t>
  </si>
  <si>
    <t>P0</t>
  </si>
  <si>
    <t>过滤器后、控制器前</t>
  </si>
  <si>
    <t>共用上游动态压力</t>
  </si>
  <si>
    <t>P1</t>
  </si>
  <si>
    <t>T1公共节点</t>
  </si>
  <si>
    <t>减压主路与文丘里旁路共同入口动态压力</t>
  </si>
  <si>
    <t>P2</t>
  </si>
  <si>
    <t>T2公共节点、B止回阀前</t>
  </si>
  <si>
    <t>与P1计算T1/T2旁路压差，只计一次</t>
  </si>
  <si>
    <t>P3</t>
  </si>
  <si>
    <t>A/B合流后、L型末端三通入口前</t>
  </si>
  <si>
    <t>验证公共段及末端二选一阀入口压力</t>
  </si>
  <si>
    <t>P4</t>
  </si>
  <si>
    <t>滴灌减压阀后、滴灌主管前</t>
  </si>
  <si>
    <t>验证滴头可用压力</t>
  </si>
  <si>
    <t>P5</t>
  </si>
  <si>
    <t>最不利上空喷头入口</t>
  </si>
  <si>
    <t>验证喷头工作压力</t>
  </si>
  <si>
    <t>工况输入</t>
  </si>
  <si>
    <t>只修改黄色C列。空值表示待确认；不要用静态压力代替运行时动态压力。A列为稳定机器字段。</t>
  </si>
  <si>
    <t>机器字段</t>
  </si>
  <si>
    <t>输入项</t>
  </si>
  <si>
    <t>数值</t>
  </si>
  <si>
    <t>状态</t>
  </si>
  <si>
    <t>填写说明</t>
  </si>
  <si>
    <t>记录信息</t>
  </si>
  <si>
    <t>scenarioName</t>
  </si>
  <si>
    <t>工况名称</t>
  </si>
  <si>
    <t>v5十滴头/五喷淋点设计</t>
  </si>
  <si>
    <t>边界算例</t>
  </si>
  <si>
    <t>可按现场日期复制另存</t>
  </si>
  <si>
    <t>scenarioDate</t>
  </si>
  <si>
    <t>记录日期</t>
  </si>
  <si>
    <t>待现场填写</t>
  </si>
  <si>
    <t>YYYY-MM-DD</t>
  </si>
  <si>
    <t>operator</t>
  </si>
  <si>
    <t>记录人</t>
  </si>
  <si>
    <t>系统与清水参数</t>
  </si>
  <si>
    <t>emitterCount</t>
  </si>
  <si>
    <t>同时工作滴头数量 N</t>
  </si>
  <si>
    <t>个</t>
  </si>
  <si>
    <t>只计同一时刻工作的滴头</t>
  </si>
  <si>
    <t>emitterFlowLph</t>
  </si>
  <si>
    <t>单滴头标称流量 q滴头</t>
  </si>
  <si>
    <t>L/h</t>
  </si>
  <si>
    <t>以拟购型号数据表为准</t>
  </si>
  <si>
    <t>densityKgM3</t>
  </si>
  <si>
    <t>流体密度 ρ</t>
  </si>
  <si>
    <t>kg/m³</t>
  </si>
  <si>
    <t>工程近似</t>
  </si>
  <si>
    <t>20℃清水</t>
  </si>
  <si>
    <t>kinematicViscosityM2s</t>
  </si>
  <si>
    <t>运动黏度 ν</t>
  </si>
  <si>
    <t>m²/s</t>
  </si>
  <si>
    <t>mainInnerDiameterMm</t>
  </si>
  <si>
    <t>主管实际内径</t>
  </si>
  <si>
    <t>mm</t>
  </si>
  <si>
    <t>候选设计</t>
  </si>
  <si>
    <t>来自9/12候选管</t>
  </si>
  <si>
    <t>mainOuterDiameterMm</t>
  </si>
  <si>
    <t>主管外径</t>
  </si>
  <si>
    <t>用于接头匹配</t>
  </si>
  <si>
    <t>mainLengthM</t>
  </si>
  <si>
    <t>主管长度</t>
  </si>
  <si>
    <t>m</t>
  </si>
  <si>
    <t>待按现场修改</t>
  </si>
  <si>
    <t>mainRoughnessMm</t>
  </si>
  <si>
    <t>主管绝对粗糙度 ε</t>
  </si>
  <si>
    <t>非层流时应采用材料数据</t>
  </si>
  <si>
    <t>mainLocalK</t>
  </si>
  <si>
    <t>主管局部阻力系数 ΣK</t>
  </si>
  <si>
    <t>确认忽略时明确填0</t>
  </si>
  <si>
    <t>代表性支管</t>
  </si>
  <si>
    <t>lateralInnerDiameterMm</t>
  </si>
  <si>
    <t>毛管实际内径</t>
  </si>
  <si>
    <t>来自3/5候选管</t>
  </si>
  <si>
    <t>lateralOuterDiameterMm</t>
  </si>
  <si>
    <t>毛管外径</t>
  </si>
  <si>
    <t>用于倒刺匹配</t>
  </si>
  <si>
    <t>lateralLengthM</t>
  </si>
  <si>
    <t>单条毛管长度</t>
  </si>
  <si>
    <t>lateralRoughnessMm</t>
  </si>
  <si>
    <t>毛管绝对粗糙度 ε</t>
  </si>
  <si>
    <t>lateralLocalK</t>
  </si>
  <si>
    <t>毛管局部阻力系数 ΣK</t>
  </si>
  <si>
    <t>动态压力与滴头</t>
  </si>
  <si>
    <t>sourceDynamicMpa</t>
  </si>
  <si>
    <t>水源动态压力</t>
  </si>
  <si>
    <t>MPa</t>
  </si>
  <si>
    <t>待现场实测</t>
  </si>
  <si>
    <t>A/B运行时分别核对</t>
  </si>
  <si>
    <t>fieldP0Mpa</t>
  </si>
  <si>
    <t>P0 过滤器后、控制器前</t>
  </si>
  <si>
    <t>fieldP1Mpa</t>
  </si>
  <si>
    <t>P1 T1公共节点动态压力</t>
  </si>
  <si>
    <t>减压主路与文丘里旁路共同入口</t>
  </si>
  <si>
    <t>fieldP2Mpa</t>
  </si>
  <si>
    <t>P2 T2公共节点动态压力</t>
  </si>
  <si>
    <t>与P1同工况；ΔP只计算一次</t>
  </si>
  <si>
    <t>fieldP3Mpa</t>
  </si>
  <si>
    <t>P3 合流后、末端分配前</t>
  </si>
  <si>
    <t>滴灌/喷灌均记录</t>
  </si>
  <si>
    <t>heightDifferenceM</t>
  </si>
  <si>
    <t>滴头相对P4高差 Δz</t>
  </si>
  <si>
    <t>向上为正，向下为负</t>
  </si>
  <si>
    <t>downstreamLossMpa</t>
  </si>
  <si>
    <t>其他下游压损</t>
  </si>
  <si>
    <t>不重复计主管/支管</t>
  </si>
  <si>
    <t>emitterMinPressureMpa</t>
  </si>
  <si>
    <t>滴头最低工作压力</t>
  </si>
  <si>
    <t>待厂家确认</t>
  </si>
  <si>
    <t>emitterMaxPressureMpa</t>
  </si>
  <si>
    <t>滴头最高工作压力</t>
  </si>
  <si>
    <t>减压阀与公共部件</t>
  </si>
  <si>
    <t>regulatorSetMpa</t>
  </si>
  <si>
    <t>滴灌下游调压器设定压力（可选）</t>
  </si>
  <si>
    <t>regulatorMinDifferentialMpa</t>
  </si>
  <si>
    <t>滴灌下游调压器最小工作压差（可选）</t>
  </si>
  <si>
    <t>backflowLossMpa</t>
  </si>
  <si>
    <t>倒流防止器压损</t>
  </si>
  <si>
    <t>对应当前流量</t>
  </si>
  <si>
    <t>filterCleanLossMpa</t>
  </si>
  <si>
    <t>过滤器洁净压损</t>
  </si>
  <si>
    <t>filterDirtyLossMpa</t>
  </si>
  <si>
    <t>过滤器允许堵塞压损</t>
  </si>
  <si>
    <t>维护上限</t>
  </si>
  <si>
    <t>A路部件</t>
  </si>
  <si>
    <t>controllerALossMpa</t>
  </si>
  <si>
    <t>控制器A路压损</t>
  </si>
  <si>
    <t>checkALossMpa</t>
  </si>
  <si>
    <t>A路止回阀压损</t>
  </si>
  <si>
    <t>fittingsALossMpa</t>
  </si>
  <si>
    <t>A路其他管件压损</t>
  </si>
  <si>
    <t>B路部件</t>
  </si>
  <si>
    <t>controllerBLossMpa</t>
  </si>
  <si>
    <t>控制器B路压损</t>
  </si>
  <si>
    <t>bypassDifferentialMpa</t>
  </si>
  <si>
    <t>T1/T2压差旁路设计压差</t>
  </si>
  <si>
    <t>仅在缺少同工况P1/P2时使用；不得再叠加减压阀和文丘里压损</t>
  </si>
  <si>
    <t>checkBLossMpa</t>
  </si>
  <si>
    <t>B路止回阀压损</t>
  </si>
  <si>
    <t>fittingsBLossMpa</t>
  </si>
  <si>
    <t>B路其他管件压损</t>
  </si>
  <si>
    <t>肥液</t>
  </si>
  <si>
    <t>waterConcentration</t>
  </si>
  <si>
    <t>清水背景浓度 C水</t>
  </si>
  <si>
    <t>同单位</t>
  </si>
  <si>
    <t>可忽略时明确填0</t>
  </si>
  <si>
    <t>motherConcentration</t>
  </si>
  <si>
    <t>母液浓度 C母液</t>
  </si>
  <si>
    <t>待配制</t>
  </si>
  <si>
    <t>targetConcentration</t>
  </si>
  <si>
    <t>目标浓度 C目标</t>
  </si>
  <si>
    <t>待设计</t>
  </si>
  <si>
    <t>fertigationDurationMinutes</t>
  </si>
  <si>
    <t>B路运行时间</t>
  </si>
  <si>
    <t>min</t>
  </si>
  <si>
    <t>unusableResidualL</t>
  </si>
  <si>
    <t>不可吸残余量</t>
  </si>
  <si>
    <t>L</t>
  </si>
  <si>
    <t>measuredSuctionLph</t>
  </si>
  <si>
    <t>实测吸液流量</t>
  </si>
  <si>
    <t>文丘里厂家工况</t>
  </si>
  <si>
    <t>venturiModel</t>
  </si>
  <si>
    <t>型号</t>
  </si>
  <si>
    <t>venturiSourceReference</t>
  </si>
  <si>
    <t>资料来源/版本</t>
  </si>
  <si>
    <t>粘贴数据表链接或文件名</t>
  </si>
  <si>
    <t>venturiMaxPressureMpa</t>
  </si>
  <si>
    <t>最大工作压力</t>
  </si>
  <si>
    <t>venturiMinMotiveLph</t>
  </si>
  <si>
    <t>允许驱动流量下限</t>
  </si>
  <si>
    <t>venturiMaxMotiveLph</t>
  </si>
  <si>
    <t>允许驱动流量上限</t>
  </si>
  <si>
    <t>venturiCurveP1Mpa</t>
  </si>
  <si>
    <t>曲线工况P1</t>
  </si>
  <si>
    <t>venturiCurveP2Mpa</t>
  </si>
  <si>
    <t>曲线工况P2</t>
  </si>
  <si>
    <t>venturiCurveMotiveLph</t>
  </si>
  <si>
    <t>曲线工况驱动流量</t>
  </si>
  <si>
    <t>venturiCurveSuctionLph</t>
  </si>
  <si>
    <t>曲线工况吸液量</t>
  </si>
  <si>
    <t>venturiCurveConfirmed</t>
  </si>
  <si>
    <t>已核对同一厂家工况</t>
  </si>
  <si>
    <t>TRUE/FALSE</t>
  </si>
  <si>
    <t>只有同一曲线点全部核对后改TRUE</t>
  </si>
  <si>
    <t>冲洗与均匀度</t>
  </si>
  <si>
    <t>actualFlushFlowLph</t>
  </si>
  <si>
    <t>实测冲洗总流量</t>
  </si>
  <si>
    <t>collectionMinutes</t>
  </si>
  <si>
    <t>统一收集时间</t>
  </si>
  <si>
    <t>sampleVolumeMl1</t>
  </si>
  <si>
    <t>滴头采样1</t>
  </si>
  <si>
    <t>mL</t>
  </si>
  <si>
    <t>采样数需为4的倍数</t>
  </si>
  <si>
    <t>sampleVolumeMl2</t>
  </si>
  <si>
    <t>滴头采样2</t>
  </si>
  <si>
    <t>sampleVolumeMl3</t>
  </si>
  <si>
    <t>滴头采样3</t>
  </si>
  <si>
    <t>sampleVolumeMl4</t>
  </si>
  <si>
    <t>滴头采样4</t>
  </si>
  <si>
    <t>sampleVolumeMl5</t>
  </si>
  <si>
    <t>滴头采样5</t>
  </si>
  <si>
    <t>sampleVolumeMl6</t>
  </si>
  <si>
    <t>滴头采样6</t>
  </si>
  <si>
    <t>sampleVolumeMl7</t>
  </si>
  <si>
    <t>滴头采样7</t>
  </si>
  <si>
    <t>sampleVolumeMl8</t>
  </si>
  <si>
    <t>滴头采样8</t>
  </si>
  <si>
    <t>sampleVolumeMl9</t>
  </si>
  <si>
    <t>滴头采样9</t>
  </si>
  <si>
    <t>sampleVolumeMl10</t>
  </si>
  <si>
    <t>滴头采样10</t>
  </si>
  <si>
    <t>sampleVolumeMl11</t>
  </si>
  <si>
    <t>滴头采样11</t>
  </si>
  <si>
    <t>sampleVolumeMl12</t>
  </si>
  <si>
    <t>滴头采样12</t>
  </si>
  <si>
    <t>sampleVolumeMl13</t>
  </si>
  <si>
    <t>滴头采样13</t>
  </si>
  <si>
    <t>sampleVolumeMl14</t>
  </si>
  <si>
    <t>滴头采样14</t>
  </si>
  <si>
    <t>sampleVolumeMl15</t>
  </si>
  <si>
    <t>滴头采样15</t>
  </si>
  <si>
    <t>sampleVolumeMl16</t>
  </si>
  <si>
    <t>滴头采样16</t>
  </si>
  <si>
    <t>运行模式与喷灌</t>
  </si>
  <si>
    <t>operatingMode</t>
  </si>
  <si>
    <t>现场模式</t>
  </si>
  <si>
    <t>滴灌施肥</t>
  </si>
  <si>
    <t>停止/清水滴灌/滴灌施肥/清水喷灌/上空喷药</t>
  </si>
  <si>
    <t>sprayNozzleCount</t>
  </si>
  <si>
    <t>同时工作上空喷头数量 M</t>
  </si>
  <si>
    <t>正式设计</t>
  </si>
  <si>
    <t>5个喷淋点</t>
  </si>
  <si>
    <t>sprayNozzleFlowLph</t>
  </si>
  <si>
    <t>单喷头标称流量</t>
  </si>
  <si>
    <t>sprayPipeInnerDiameterMm</t>
  </si>
  <si>
    <t>喷灌主管实际内径</t>
  </si>
  <si>
    <t>sprayPipeOuterDiameterMm</t>
  </si>
  <si>
    <t>喷灌主管外径</t>
  </si>
  <si>
    <t>sprayPipeLengthM</t>
  </si>
  <si>
    <t>喷灌主管及立管总长度</t>
  </si>
  <si>
    <t>sprayPipeRoughnessMm</t>
  </si>
  <si>
    <t>喷灌管绝对粗糙度 ε</t>
  </si>
  <si>
    <t>sprayPipeLocalK</t>
  </si>
  <si>
    <t>喷灌管局部阻力系数 ΣK</t>
  </si>
  <si>
    <t>sprayHeightDifferenceM</t>
  </si>
  <si>
    <t>最不利喷头相对P3高差 Δz</t>
  </si>
  <si>
    <t>向上为正</t>
  </si>
  <si>
    <t>fieldP4Mpa</t>
  </si>
  <si>
    <t>P4 滴灌减压阀后</t>
  </si>
  <si>
    <t>滴灌工况</t>
  </si>
  <si>
    <t>fieldP5Mpa</t>
  </si>
  <si>
    <t>P5 最不利上空喷头入口</t>
  </si>
  <si>
    <t>喷灌工况</t>
  </si>
  <si>
    <t>sprayNozzleMinPressureMpa</t>
  </si>
  <si>
    <t>喷头最低工作压力</t>
  </si>
  <si>
    <t>sprayNozzleMaxPressureMpa</t>
  </si>
  <si>
    <t>喷头最高工作压力</t>
  </si>
  <si>
    <t>sprayDownstreamLossMpa</t>
  </si>
  <si>
    <t>喷头前其他下游压损</t>
  </si>
  <si>
    <t>dripValveLossMpa</t>
  </si>
  <si>
    <t>L型末端三通（滴灌位）当前流量压损</t>
  </si>
  <si>
    <t>普通L型二选一阀，无关闭位</t>
  </si>
  <si>
    <t>sprayValveLossMpa</t>
  </si>
  <si>
    <t>L型末端三通（喷淋位）当前流量压损</t>
  </si>
  <si>
    <t>sprayFilterLossMpa</t>
  </si>
  <si>
    <t>喷灌支路过滤器压损</t>
  </si>
  <si>
    <t>sprayRegulatorSetMpa</t>
  </si>
  <si>
    <t>喷灌调压阀设定压力</t>
  </si>
  <si>
    <t>sprayRegulatorMinDifferentialMpa</t>
  </si>
  <si>
    <t>喷灌调压阀最小工作压差</t>
  </si>
  <si>
    <t>sprayFittingsLossMpa</t>
  </si>
  <si>
    <t>喷灌支路其他管件压损</t>
  </si>
  <si>
    <t>喷药液与喷灌文丘里工况</t>
  </si>
  <si>
    <t>sprayFieldP1Mpa</t>
  </si>
  <si>
    <t>喷灌喷药工况P1</t>
  </si>
  <si>
    <t>B路稳定后</t>
  </si>
  <si>
    <t>sprayFieldP2Mpa</t>
  </si>
  <si>
    <t>喷灌喷药工况P2</t>
  </si>
  <si>
    <t>pesticideWaterConcentration</t>
  </si>
  <si>
    <t>载水背景浓度</t>
  </si>
  <si>
    <t>pesticideMotherConcentration</t>
  </si>
  <si>
    <t>农药桶母液浓度</t>
  </si>
  <si>
    <t>按标签配制</t>
  </si>
  <si>
    <t>pesticideTargetConcentration</t>
  </si>
  <si>
    <t>目标喷液浓度</t>
  </si>
  <si>
    <t>按标签确定</t>
  </si>
  <si>
    <t>pesticideDurationMinutes</t>
  </si>
  <si>
    <t>B路喷药时间</t>
  </si>
  <si>
    <t>计入标签允许载水量</t>
  </si>
  <si>
    <t>pesticideUnusableResidualL</t>
  </si>
  <si>
    <t>农药桶不可吸残余量</t>
  </si>
  <si>
    <t>measuredPesticideSuctionLph</t>
  </si>
  <si>
    <t>实测农药吸液流量</t>
  </si>
  <si>
    <t>先用清水测试</t>
  </si>
  <si>
    <t>pesticideLabelReference</t>
  </si>
  <si>
    <t>农药登记标签/说明书</t>
  </si>
  <si>
    <t>使用前必填</t>
  </si>
  <si>
    <t>记录产品与标签版本</t>
  </si>
  <si>
    <t>pesticideMethodConfirmed</t>
  </si>
  <si>
    <t>标签允许所选喷施方法</t>
  </si>
  <si>
    <t>未确认时禁止判定可用</t>
  </si>
  <si>
    <t>sprayVenturiCurveP1Mpa</t>
  </si>
  <si>
    <t>喷灌曲线工况P1</t>
  </si>
  <si>
    <t>sprayVenturiCurveP2Mpa</t>
  </si>
  <si>
    <t>喷灌曲线工况P2</t>
  </si>
  <si>
    <t>sprayVenturiCurveMotiveLph</t>
  </si>
  <si>
    <t>喷灌曲线驱动流量</t>
  </si>
  <si>
    <t>sprayVenturiCurveSuctionLph</t>
  </si>
  <si>
    <t>喷灌曲线吸液量</t>
  </si>
  <si>
    <t>sprayVenturiCurveConfirmed</t>
  </si>
  <si>
    <t>已核对喷灌厂家工况</t>
  </si>
  <si>
    <t>actualSprayFlushFlowLph</t>
  </si>
  <si>
    <t>实测喷灌清水置换流量</t>
  </si>
  <si>
    <t>v5压差旁路与OD12节点</t>
  </si>
  <si>
    <t>actualVenturiMotiveLph</t>
  </si>
  <si>
    <t>滴灌施肥实际文丘里驱动流量</t>
  </si>
  <si>
    <t>不是系统总流量；与P1/P2同工况</t>
  </si>
  <si>
    <t>sprayActualVenturiMotiveLph</t>
  </si>
  <si>
    <t>上空喷药实际文丘里驱动流量</t>
  </si>
  <si>
    <t>不是喷淋总流量；与喷药P1/P2同工况</t>
  </si>
  <si>
    <t>nodeBranchInnerDiameterMm</t>
  </si>
  <si>
    <t>OD12节点支管实际内径</t>
  </si>
  <si>
    <t>外径已知不等于内径</t>
  </si>
  <si>
    <t>nodeBranchOuterDiameterMm</t>
  </si>
  <si>
    <t>OD12节点支管外径</t>
  </si>
  <si>
    <t>用于12mm快插匹配</t>
  </si>
  <si>
    <t>nodeBranchLengthM</t>
  </si>
  <si>
    <t>单段OD12节点支管长度</t>
  </si>
  <si>
    <t>5段分别测量，计算采用代表值</t>
  </si>
  <si>
    <t>nodeBranchRoughnessMm</t>
  </si>
  <si>
    <t>OD12节点支管绝对粗糙度 ε</t>
  </si>
  <si>
    <t>按实际材料数据</t>
  </si>
  <si>
    <t>nodeBranchLocalK</t>
  </si>
  <si>
    <t>OD12节点支管局部阻力系数 ΣK</t>
  </si>
  <si>
    <t>待设计确认</t>
  </si>
  <si>
    <t>管路水力</t>
  </si>
  <si>
    <t>Darcy–Weisbach；主管按10只滴头总流量，OD12节点支管按每节点2只滴头，3/5毛管按单只滴头。</t>
  </si>
  <si>
    <t>OD12节点支管</t>
  </si>
  <si>
    <t>3/5滴箭毛管</t>
  </si>
  <si>
    <t>单位/说明</t>
  </si>
  <si>
    <t>设计流量</t>
  </si>
  <si>
    <t>流量</t>
  </si>
  <si>
    <t>m³/s</t>
  </si>
  <si>
    <t>实际内径</t>
  </si>
  <si>
    <t>长度</t>
  </si>
  <si>
    <t>绝对粗糙度</t>
  </si>
  <si>
    <t>局部阻力系数</t>
  </si>
  <si>
    <t>—</t>
  </si>
  <si>
    <t>截面积</t>
  </si>
  <si>
    <t>m²</t>
  </si>
  <si>
    <t>流速</t>
  </si>
  <si>
    <t>m/s</t>
  </si>
  <si>
    <t>雷诺数</t>
  </si>
  <si>
    <t>流态</t>
  </si>
  <si>
    <t>摩阻系数</t>
  </si>
  <si>
    <t>沿程压损</t>
  </si>
  <si>
    <t>局部压损</t>
  </si>
  <si>
    <t>总压损</t>
  </si>
  <si>
    <t>管内容积</t>
  </si>
  <si>
    <t>系统总管内容积</t>
  </si>
  <si>
    <t>主管 + 5×节点支管 + 10×毛管</t>
  </si>
  <si>
    <t>A路压力预算</t>
  </si>
  <si>
    <t>清水模式分别核对过滤器洁净与允许堵塞工况；结果只反映已录入压损。</t>
  </si>
  <si>
    <t>洁净工况</t>
  </si>
  <si>
    <t>允许堵塞</t>
  </si>
  <si>
    <t>单位/判断</t>
  </si>
  <si>
    <t>减压阀设定压力</t>
  </si>
  <si>
    <t>减压阀最小工作压差</t>
  </si>
  <si>
    <t>公共与A路压损</t>
  </si>
  <si>
    <t>所需水源压力</t>
  </si>
  <si>
    <t>动态压力余量</t>
  </si>
  <si>
    <t>压力预算状态</t>
  </si>
  <si>
    <t>余量≥0方可满足已录入条件</t>
  </si>
  <si>
    <t>缺少任一厂家压损时保持待确认</t>
  </si>
  <si>
    <t>堵塞压损达到维护上限时核对</t>
  </si>
  <si>
    <t>支路止回阀不代替水源倒流防护</t>
  </si>
  <si>
    <t>B路压差旁路与文丘里判定</t>
  </si>
  <si>
    <t>T1/T2间减压主路与文丘里旁路同时通水。实际驱动流量必须实测；P1-P2压差只计一次。</t>
  </si>
  <si>
    <t>实际/设计值</t>
  </si>
  <si>
    <t>厂家下限</t>
  </si>
  <si>
    <t>厂家上限/曲线</t>
  </si>
  <si>
    <t>状态或公式</t>
  </si>
  <si>
    <t>P1（T1）</t>
  </si>
  <si>
    <t>P2（T2）</t>
  </si>
  <si>
    <t>ΔP旁路</t>
  </si>
  <si>
    <t>P1-P2</t>
  </si>
  <si>
    <t>下游设计总流量</t>
  </si>
  <si>
    <t>L/h；不是文丘里驱动流量</t>
  </si>
  <si>
    <t>目标吸液量</t>
  </si>
  <si>
    <t>实际文丘里驱动流量</t>
  </si>
  <si>
    <t>L/h；同工况实测</t>
  </si>
  <si>
    <t>文丘里最大工作压力</t>
  </si>
  <si>
    <t>允许驱动流量</t>
  </si>
  <si>
    <t>厂家曲线P1</t>
  </si>
  <si>
    <t>厂家曲线P2</t>
  </si>
  <si>
    <t>厂家曲线驱动流量</t>
  </si>
  <si>
    <t>厂家曲线吸液量</t>
  </si>
  <si>
    <t>资料确认</t>
  </si>
  <si>
    <t>TRUE后仍需现场清水调试</t>
  </si>
  <si>
    <t>文丘里适用性</t>
  </si>
  <si>
    <t>P1≤P2不适用；缺驱动流量/曲线待确认</t>
  </si>
  <si>
    <t>肥液、吸液量与桶容量</t>
  </si>
  <si>
    <t>三种浓度必须使用同一单位；本表不判断肥料溶解度和材料兼容性。</t>
  </si>
  <si>
    <t>公式/说明</t>
  </si>
  <si>
    <t>Q设计</t>
  </si>
  <si>
    <t>N×q滴头</t>
  </si>
  <si>
    <t>清水背景浓度</t>
  </si>
  <si>
    <t>C水</t>
  </si>
  <si>
    <t>母液浓度</t>
  </si>
  <si>
    <t>C母液</t>
  </si>
  <si>
    <t>目标浓度</t>
  </si>
  <si>
    <t>C目标</t>
  </si>
  <si>
    <t>B路时间</t>
  </si>
  <si>
    <t>Q设计×(C目标-C水)/(C母液-C水)</t>
  </si>
  <si>
    <t>清水总量（非文丘里驱动量）</t>
  </si>
  <si>
    <t>下游清水质量平衡；不得视为文丘里实际驱动流量</t>
  </si>
  <si>
    <t>本周期母液量</t>
  </si>
  <si>
    <t>q吸×t/60</t>
  </si>
  <si>
    <t>最低有效桶容量</t>
  </si>
  <si>
    <t>母液量+残余量</t>
  </si>
  <si>
    <t>冲洗时间与滴头均匀度</t>
  </si>
  <si>
    <t>理论冲洗时间仅代表一个管内容积；采样数必须为4的倍数，最终冲洗终点仍按末端水质确认。</t>
  </si>
  <si>
    <t>序号</t>
  </si>
  <si>
    <t>采样体积mL</t>
  </si>
  <si>
    <t>换算流量L/h</t>
  </si>
  <si>
    <t>低四分位辅助值</t>
  </si>
  <si>
    <t>输入/结果</t>
  </si>
  <si>
    <t>结果</t>
  </si>
  <si>
    <t>来自管路水力</t>
  </si>
  <si>
    <t>现场输入</t>
  </si>
  <si>
    <t>理论冲洗时间</t>
  </si>
  <si>
    <t>一个管内容积</t>
  </si>
  <si>
    <t>平均滴头流量</t>
  </si>
  <si>
    <t>最低四分位平均/DUlq</t>
  </si>
  <si>
    <t>%</t>
  </si>
  <si>
    <t>当前工况结果摘要</t>
  </si>
  <si>
    <t>本页适合打印归档。任何“已计算”只说明输入足够执行公式，不替代厂家选型和现场验收。</t>
  </si>
  <si>
    <t>指标</t>
  </si>
  <si>
    <t>下一步</t>
  </si>
  <si>
    <t>系统设计流量</t>
  </si>
  <si>
    <t>核对同时工作滴头数</t>
  </si>
  <si>
    <t>系统管内容积</t>
  </si>
  <si>
    <t>用于冲洗时间</t>
  </si>
  <si>
    <t>A路洁净压力余量</t>
  </si>
  <si>
    <t>运行时测水源动态压力</t>
  </si>
  <si>
    <t>A路堵塞压力余量</t>
  </si>
  <si>
    <t>达到过滤器维护上限前清洗</t>
  </si>
  <si>
    <t>文丘里实测压差</t>
  </si>
  <si>
    <t>B路稳定后读取P1、P2</t>
  </si>
  <si>
    <t>缺厂家曲线时不得采购判定</t>
  </si>
  <si>
    <t>另行考虑安全余量</t>
  </si>
  <si>
    <t>末端水质恢复后才停止</t>
  </si>
  <si>
    <t>DUlq</t>
  </si>
  <si>
    <t>按项目目标判断</t>
  </si>
  <si>
    <t>安全边界</t>
  </si>
  <si>
    <t>文丘里验收边界</t>
  </si>
  <si>
    <t>滴灌和喷淋分别记录实际驱动流量、P1/P2及厂家同工况曲线</t>
  </si>
  <si>
    <t>首次施肥</t>
  </si>
  <si>
    <t>先用清水完成动态压力、反向窜流、总流量、吸液量和均匀度测试。</t>
  </si>
  <si>
    <t>fertigation-baseline:v2</t>
  </si>
  <si>
    <t>cb42fa86327d852f7ca749d6377734c6f08741f8b8621312dc8d31cd75ae87e5</t>
  </si>
  <si>
    <t>喷淋、喷药与模式合同</t>
  </si>
  <si>
    <t>喷淋按5个点计算；切换末端前必须关闭A/B并泄压，停止模式不要求L型末端阀关闭。</t>
  </si>
  <si>
    <t>公式/判定</t>
  </si>
  <si>
    <t>操作原则</t>
  </si>
  <si>
    <t>先关闭A/B并泄压，再切换L型末端阀；停止时末端阀可保持原位</t>
  </si>
  <si>
    <t>禁止T型三通双末端同时连通</t>
  </si>
  <si>
    <t>两只三通手动选择阀</t>
  </si>
  <si>
    <t>按阀位卡核对 MV-END、MV-SOURCE 与 A/B 程序</t>
  </si>
  <si>
    <t>模式合同</t>
  </si>
  <si>
    <t>停止/清水滴灌/滴灌施肥/清水喷淋/上空喷药</t>
  </si>
  <si>
    <t>L型末端二选一 + 液源三位</t>
  </si>
  <si>
    <t>每只三通阀仅允许一个锁定位置</t>
  </si>
  <si>
    <t>禁止使用无中位全关或会内部串通的三通阀</t>
  </si>
  <si>
    <t>滴灌设计流量</t>
  </si>
  <si>
    <t>L/h；10只PC滴头</t>
  </si>
  <si>
    <t>核对滴头数量</t>
  </si>
  <si>
    <t>喷淋设计流量</t>
  </si>
  <si>
    <t>L/h；5个喷淋点</t>
  </si>
  <si>
    <t>M×q喷头</t>
  </si>
  <si>
    <t>核对喷头数量与覆盖</t>
  </si>
  <si>
    <t>喷淋主管总压损</t>
  </si>
  <si>
    <t>πD²L/4</t>
  </si>
  <si>
    <t>用于清水置换</t>
  </si>
  <si>
    <t>最不利喷头可用压力</t>
  </si>
  <si>
    <t>Q/A</t>
  </si>
  <si>
    <t>核对管径</t>
  </si>
  <si>
    <t>喷头压力状态</t>
  </si>
  <si>
    <t>缺厂家范围/实测=待确认</t>
  </si>
  <si>
    <t>vD/ν</t>
  </si>
  <si>
    <t>喷淋清水置换体积</t>
  </si>
  <si>
    <t>层流/过渡区/湍流</t>
  </si>
  <si>
    <t>喷淋清水置换时间</t>
  </si>
  <si>
    <t>64/Re或Swamee–Jain</t>
  </si>
  <si>
    <t>f(L/D)ρv²/2</t>
  </si>
  <si>
    <t>喷药目标吸液量</t>
  </si>
  <si>
    <t>ΣKρv²/2</t>
  </si>
  <si>
    <t>喷药所需清水试桶体积</t>
  </si>
  <si>
    <t>沿程＋局部</t>
  </si>
  <si>
    <t>喷药标签确认</t>
  </si>
  <si>
    <t>TRUE后仍须清水调试</t>
  </si>
  <si>
    <t>现场动态压力</t>
  </si>
  <si>
    <t>核对喷头范围</t>
  </si>
  <si>
    <t>喷药实际吸液流量</t>
  </si>
  <si>
    <t>Pmin≤P5≤Pmax</t>
  </si>
  <si>
    <t>喷药实际文丘里驱动流量</t>
  </si>
  <si>
    <t>L/h；不得用喷淋总流量代替</t>
  </si>
  <si>
    <t>由用户录入的浓度平衡</t>
  </si>
  <si>
    <t>不自动推荐剂量</t>
  </si>
  <si>
    <t>喷药工况ΔP</t>
  </si>
  <si>
    <t>Q喷灌-q吸</t>
  </si>
  <si>
    <t>喷药文丘里适用性</t>
  </si>
  <si>
    <t>喷药工况动态压差</t>
  </si>
  <si>
    <t>标签＋厂家工况＋现场水力</t>
  </si>
  <si>
    <t>缺任一项保持待确认</t>
  </si>
  <si>
    <t>交叉禁用</t>
  </si>
  <si>
    <t>肥料不得进入喷淋；农药不得进入滴灌</t>
  </si>
  <si>
    <t>运行前人工复核</t>
  </si>
  <si>
    <t>V喷灌/Q清水×60</t>
  </si>
  <si>
    <t>停止合同</t>
  </si>
  <si>
    <t>A/B全关、液源关闭；末端阀可保持滴灌或喷淋位</t>
  </si>
  <si>
    <t>停止不再要求末端关闭</t>
  </si>
  <si>
    <t>只提供工程水力</t>
  </si>
  <si>
    <t>按登记标签执行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</si>
</sst>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"/>
    <numFmt numFmtId="166" formatCode="0.0%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  <name val="Microsoft YaHei"/>
    </font>
    <font>
      <color rgb="FF60768A"/>
      <sz val="10"/>
      <name val="Microsoft YaHei"/>
    </font>
    <font>
      <b/>
      <color rgb="FFFFFFFF"/>
      <sz val="10"/>
      <name val="Microsoft YaHei"/>
    </font>
    <font>
      <color rgb="FF1F3346"/>
      <sz val="9"/>
      <name val="Microsoft YaHei"/>
    </font>
    <font>
      <b/>
      <color rgb="FFFFFFFF"/>
      <sz val="11"/>
      <name val="Microsoft YaHei"/>
    </font>
    <font>
      <color theme="1"/>
      <sz val="11"/>
      <name val="Calibri"/>
    </font>
    <font>
      <b/>
      <color rgb="FF12395B"/>
      <sz val="9"/>
      <name val="Microsoft YaHei"/>
    </font>
    <font>
      <b/>
      <color rgb="FF12395B"/>
      <sz val="11"/>
      <name val="Calibri"/>
    </font>
    <font>
      <b/>
      <color rgb="FFEDF4F8"/>
      <sz val="6"/>
      <name val="Consolas"/>
    </font>
    <font>
      <b/>
      <color rgb="FF1F3346"/>
      <sz val="9"/>
      <name val="Microsoft YaHei"/>
    </font>
    <font>
      <color rgb="FFEDF4F8"/>
      <sz val="6"/>
      <name val="Consolas"/>
    </font>
    <font>
      <b/>
      <color rgb="FF526B80"/>
      <sz val="10"/>
      <name val="Calibri"/>
    </font>
    <font>
      <color rgb="FF8293A3"/>
      <sz val="8"/>
      <name val="Calibri"/>
    </font>
    <font>
      <color rgb="FF1F3346"/>
      <sz val="10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i/>
      <color rgb="FF172033"/>
      <sz val="11"/>
      <name val="Calibri"/>
    </font>
    <font>
      <b/>
      <color rgb="FFFFFFFF"/>
      <sz val="9"/>
      <name val="Microsoft YaHei"/>
    </font>
    <font>
      <b/>
      <color rgb="FFFFFFFF"/>
      <sz val="18"/>
      <name val="Calibri"/>
    </font>
    <font>
      <color rgb="FF60768A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2395B"/>
      </patternFill>
    </fill>
    <fill>
      <patternFill patternType="solid">
        <fgColor rgb="FF123354"/>
      </patternFill>
    </fill>
    <fill>
      <patternFill patternType="solid">
        <fgColor rgb="FFEAF2F8"/>
      </patternFill>
    </fill>
    <fill>
      <patternFill patternType="solid">
        <fgColor rgb="FF1261A6"/>
      </patternFill>
    </fill>
    <fill>
      <patternFill patternType="solid">
        <fgColor rgb="FFE8F2F8"/>
      </patternFill>
    </fill>
    <fill>
      <patternFill patternType="solid">
        <fgColor rgb="FFDCEAF5"/>
      </patternFill>
    </fill>
    <fill>
      <patternFill patternType="solid">
        <fgColor rgb="FFFFF3C4"/>
      </patternFill>
    </fill>
    <fill>
      <patternFill patternType="solid">
        <fgColor rgb="FFFFF2CC"/>
      </patternFill>
    </fill>
    <fill>
      <patternFill patternType="solid">
        <fgColor rgb="FF126CAB"/>
      </patternFill>
    </fill>
    <fill>
      <patternFill patternType="solid">
        <fgColor rgb="FFEDF1F5"/>
      </patternFill>
    </fill>
    <fill>
      <patternFill patternType="solid">
        <fgColor rgb="FF15965A"/>
      </patternFill>
    </fill>
    <fill>
      <patternFill patternType="solid">
        <fgColor rgb="FFC84343"/>
      </patternFill>
    </fill>
    <fill>
      <patternFill patternType="solid">
        <fgColor rgb="FF173A5B"/>
      </patternFill>
    </fill>
    <fill>
      <patternFill patternType="solid">
        <fgColor rgb="FF1769AA"/>
      </patternFill>
    </fill>
  </fills>
  <borders count="8">
    <border>
      <left/>
      <right/>
      <top/>
      <bottom/>
      <diagonal/>
    </border>
    <border>
      <left style="thin">
        <color rgb="FFAFC4D6"/>
      </left>
      <right style="thin">
        <color rgb="FFAFC4D6"/>
      </right>
      <top style="thin">
        <color rgb="FFAFC4D6"/>
      </top>
      <bottom style="thin">
        <color rgb="FFAFC4D6"/>
      </bottom>
      <diagonal/>
    </border>
    <border>
      <left/>
      <right/>
      <top/>
      <bottom style="thin">
        <color rgb="FFDCE6EE"/>
      </bottom>
      <diagonal/>
    </border>
    <border>
      <left/>
      <right/>
      <top style="thin">
        <color rgb="FFDCE6EE"/>
      </top>
      <bottom style="thin">
        <color rgb="FFDCE6EE"/>
      </bottom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  <diagonal/>
    </border>
    <border>
      <left/>
      <right/>
      <top/>
      <bottom style="thin">
        <color rgb="FFD8E3EC"/>
      </bottom>
      <diagonal/>
    </border>
    <border>
      <left/>
      <right/>
      <top style="thin">
        <color rgb="FFD8E3EC"/>
      </top>
      <bottom style="thin">
        <color rgb="FFD8E3E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1" fillId="3" borderId="0" xfId="0" applyFont="1" applyFill="1" applyAlignment="1" applyProtection="1">
      <alignment horizontal="left" vertical="center"/>
    </xf>
    <xf numFmtId="0" fontId="2" fillId="4" borderId="0" xfId="0" applyFont="1" applyFill="1" applyAlignment="1" applyProtection="1">
      <alignment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vertical="center" wrapText="1"/>
    </xf>
    <xf numFmtId="0" fontId="4" fillId="0" borderId="3" xfId="0" applyFont="1" applyBorder="1" applyAlignment="1" applyProtection="1">
      <alignment vertical="center" wrapText="1"/>
    </xf>
    <xf numFmtId="0" fontId="5" fillId="5" borderId="0" xfId="0" applyFont="1" applyFill="1" applyProtection="1"/>
    <xf numFmtId="0" fontId="6" fillId="0" borderId="0" xfId="0" applyFont="1" applyProtection="1"/>
    <xf numFmtId="0" fontId="4" fillId="6" borderId="4" xfId="0" applyFont="1" applyFill="1" applyBorder="1" applyAlignment="1" applyProtection="1">
      <alignment vertical="center" wrapText="1"/>
    </xf>
    <xf numFmtId="0" fontId="7" fillId="6" borderId="4" xfId="0" applyFont="1" applyFill="1" applyBorder="1" applyAlignment="1" applyProtection="1">
      <alignment vertical="center" wrapText="1"/>
    </xf>
    <xf numFmtId="0" fontId="6" fillId="6" borderId="4" xfId="0" applyFont="1" applyFill="1" applyBorder="1" applyAlignment="1" applyProtection="1">
      <alignment wrapText="1"/>
    </xf>
    <xf numFmtId="0" fontId="8" fillId="6" borderId="4" xfId="0" applyFont="1" applyFill="1" applyBorder="1" applyAlignment="1" applyProtection="1">
      <alignment wrapText="1"/>
    </xf>
    <xf numFmtId="0" fontId="9" fillId="7" borderId="2" xfId="0" applyFont="1" applyFill="1" applyBorder="1" applyAlignment="1" applyProtection="1">
      <alignment vertical="center" wrapText="1"/>
    </xf>
    <xf numFmtId="0" fontId="10" fillId="7" borderId="2" xfId="0" applyFont="1" applyFill="1" applyBorder="1" applyAlignment="1" applyProtection="1">
      <alignment vertical="center" wrapText="1"/>
    </xf>
    <xf numFmtId="164" fontId="10" fillId="8" borderId="2" xfId="0" applyNumberFormat="1" applyFont="1" applyFill="1" applyBorder="1" applyAlignment="1" applyProtection="1">
      <alignment vertical="center" wrapText="1"/>
      <protection locked="0"/>
    </xf>
    <xf numFmtId="0" fontId="11" fillId="0" borderId="3" xfId="0" applyFont="1" applyBorder="1" applyAlignment="1" applyProtection="1">
      <alignment vertical="center" wrapText="1"/>
    </xf>
    <xf numFmtId="49" fontId="4" fillId="8" borderId="3" xfId="0" applyNumberFormat="1" applyFont="1" applyFill="1" applyBorder="1" applyAlignment="1" applyProtection="1">
      <alignment vertical="center" wrapText="1"/>
      <protection locked="0"/>
    </xf>
    <xf numFmtId="0" fontId="9" fillId="7" borderId="3" xfId="0" applyFont="1" applyFill="1" applyBorder="1" applyAlignment="1" applyProtection="1">
      <alignment vertical="center" wrapText="1"/>
    </xf>
    <xf numFmtId="0" fontId="10" fillId="7" borderId="3" xfId="0" applyFont="1" applyFill="1" applyBorder="1" applyAlignment="1" applyProtection="1">
      <alignment vertical="center" wrapText="1"/>
    </xf>
    <xf numFmtId="164" fontId="10" fillId="8" borderId="3" xfId="0" applyNumberFormat="1" applyFont="1" applyFill="1" applyBorder="1" applyAlignment="1" applyProtection="1">
      <alignment vertical="center" wrapText="1"/>
      <protection locked="0"/>
    </xf>
    <xf numFmtId="1" fontId="4" fillId="8" borderId="3" xfId="0" applyNumberFormat="1" applyFont="1" applyFill="1" applyBorder="1" applyAlignment="1" applyProtection="1">
      <alignment vertical="center" wrapText="1"/>
      <protection locked="0"/>
    </xf>
    <xf numFmtId="164" fontId="4" fillId="8" borderId="3" xfId="0" applyNumberFormat="1" applyFont="1" applyFill="1" applyBorder="1" applyAlignment="1" applyProtection="1">
      <alignment vertical="center" wrapText="1"/>
      <protection locked="0"/>
    </xf>
    <xf numFmtId="0" fontId="4" fillId="8" borderId="3" xfId="0" applyFont="1" applyFill="1" applyBorder="1" applyAlignment="1" applyProtection="1">
      <alignment vertical="center" wrapText="1"/>
      <protection locked="0"/>
    </xf>
    <xf numFmtId="0" fontId="12" fillId="7" borderId="0" xfId="0" applyFont="1" applyFill="1" applyAlignment="1" applyProtection="1">
      <alignment vertical="center" wrapText="1"/>
    </xf>
    <xf numFmtId="164" fontId="12" fillId="7" borderId="0" xfId="0" applyNumberFormat="1" applyFont="1" applyFill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 wrapText="1"/>
    </xf>
    <xf numFmtId="0" fontId="14" fillId="0" borderId="0" xfId="0" applyFont="1" applyAlignment="1" applyProtection="1">
      <alignment vertical="center" wrapText="1"/>
    </xf>
    <xf numFmtId="49" fontId="14" fillId="9" borderId="0" xfId="0" applyNumberFormat="1" applyFont="1" applyFill="1" applyAlignment="1" applyProtection="1">
      <alignment vertical="center" wrapText="1"/>
      <protection locked="0"/>
    </xf>
    <xf numFmtId="1" fontId="14" fillId="9" borderId="0" xfId="0" applyNumberFormat="1" applyFont="1" applyFill="1" applyAlignment="1" applyProtection="1">
      <alignment vertical="center" wrapText="1"/>
      <protection locked="0"/>
    </xf>
    <xf numFmtId="164" fontId="14" fillId="9" borderId="0" xfId="0" applyNumberFormat="1" applyFont="1" applyFill="1" applyAlignment="1" applyProtection="1">
      <alignment vertical="center" wrapText="1"/>
      <protection locked="0"/>
    </xf>
    <xf numFmtId="0" fontId="14" fillId="9" borderId="0" xfId="0" applyFont="1" applyFill="1" applyAlignment="1" applyProtection="1">
      <alignment vertical="center" wrapText="1"/>
      <protection locked="0"/>
    </xf>
    <xf numFmtId="0" fontId="15" fillId="10" borderId="4" xfId="0" applyFont="1" applyFill="1" applyBorder="1" applyAlignment="1" applyProtection="1">
      <alignment wrapText="1"/>
    </xf>
    <xf numFmtId="164" fontId="15" fillId="10" borderId="4" xfId="0" applyNumberFormat="1" applyFont="1" applyFill="1" applyBorder="1" applyAlignment="1" applyProtection="1">
      <alignment wrapText="1"/>
      <protection locked="0"/>
    </xf>
    <xf numFmtId="0" fontId="6" fillId="0" borderId="4" xfId="0" applyFont="1" applyBorder="1" applyAlignment="1" applyProtection="1">
      <alignment wrapText="1"/>
    </xf>
    <xf numFmtId="164" fontId="6" fillId="8" borderId="4" xfId="0" applyNumberFormat="1" applyFont="1" applyFill="1" applyBorder="1" applyAlignment="1" applyProtection="1">
      <alignment wrapText="1"/>
      <protection locked="0"/>
    </xf>
    <xf numFmtId="0" fontId="16" fillId="2" borderId="0" xfId="0" applyFont="1" applyFill="1" applyProtection="1"/>
    <xf numFmtId="0" fontId="17" fillId="6" borderId="0" xfId="0" applyFont="1" applyFill="1" applyAlignment="1" applyProtection="1">
      <alignment wrapText="1"/>
    </xf>
    <xf numFmtId="0" fontId="15" fillId="10" borderId="5" xfId="0" applyFont="1" applyFill="1" applyBorder="1" applyAlignment="1" applyProtection="1">
      <alignment wrapText="1"/>
    </xf>
    <xf numFmtId="0" fontId="6" fillId="0" borderId="4" xfId="0" applyFont="1" applyBorder="1" applyAlignment="1" applyProtection="1">
      <alignment vertical="top" wrapText="1"/>
    </xf>
    <xf numFmtId="164" fontId="6" fillId="0" borderId="4" xfId="0" applyNumberFormat="1" applyFont="1" applyBorder="1" applyAlignment="1" applyProtection="1">
      <alignment vertical="top" wrapText="1"/>
    </xf>
    <xf numFmtId="164" fontId="4" fillId="11" borderId="2" xfId="0" applyNumberFormat="1" applyFont="1" applyFill="1" applyBorder="1" applyAlignment="1" applyProtection="1">
      <alignment vertical="center" wrapText="1"/>
    </xf>
    <xf numFmtId="164" fontId="4" fillId="11" borderId="3" xfId="0" applyNumberFormat="1" applyFont="1" applyFill="1" applyBorder="1" applyAlignment="1" applyProtection="1">
      <alignment vertical="center" wrapText="1"/>
    </xf>
    <xf numFmtId="0" fontId="4" fillId="11" borderId="3" xfId="0" applyFont="1" applyFill="1" applyBorder="1" applyAlignment="1" applyProtection="1">
      <alignment vertical="center" wrapText="1"/>
    </xf>
    <xf numFmtId="165" fontId="4" fillId="11" borderId="2" xfId="0" applyNumberFormat="1" applyFont="1" applyFill="1" applyBorder="1" applyAlignment="1" applyProtection="1">
      <alignment vertical="center" wrapText="1"/>
    </xf>
    <xf numFmtId="165" fontId="4" fillId="11" borderId="3" xfId="0" applyNumberFormat="1" applyFont="1" applyFill="1" applyBorder="1" applyAlignment="1" applyProtection="1">
      <alignment vertical="center" wrapText="1"/>
    </xf>
    <xf numFmtId="0" fontId="4" fillId="11" borderId="2" xfId="0" applyFont="1" applyFill="1" applyBorder="1" applyAlignment="1" applyProtection="1">
      <alignment vertical="center" wrapText="1"/>
    </xf>
    <xf numFmtId="166" fontId="18" fillId="12" borderId="3" xfId="0" applyNumberFormat="1" applyFont="1" applyFill="1" applyBorder="1" applyAlignment="1" applyProtection="1">
      <alignment vertical="center" wrapText="1"/>
    </xf>
    <xf numFmtId="166" fontId="4" fillId="11" borderId="3" xfId="0" applyNumberFormat="1" applyFont="1" applyFill="1" applyBorder="1" applyAlignment="1" applyProtection="1">
      <alignment vertical="center" wrapText="1"/>
    </xf>
    <xf numFmtId="0" fontId="5" fillId="13" borderId="0" xfId="0" applyFont="1" applyFill="1" applyProtection="1"/>
    <xf numFmtId="0" fontId="16" fillId="2" borderId="0" xfId="0" applyFont="1" applyFill="1" applyAlignment="1" applyProtection="1">
      <alignment vertical="center" wrapText="1"/>
    </xf>
    <xf numFmtId="0" fontId="19" fillId="14" borderId="0" xfId="0" applyFont="1" applyFill="1" applyAlignment="1" applyProtection="1">
      <alignment vertical="center" wrapText="1"/>
    </xf>
    <xf numFmtId="0" fontId="20" fillId="4" borderId="0" xfId="0" applyFont="1" applyFill="1" applyAlignment="1" applyProtection="1">
      <alignment wrapText="1"/>
    </xf>
    <xf numFmtId="0" fontId="6" fillId="0" borderId="0" xfId="0" applyFont="1" applyAlignment="1">
      <alignment wrapText="1"/>
    </xf>
    <xf numFmtId="0" fontId="15" fillId="10" borderId="5" xfId="0" applyFont="1" applyFill="1" applyBorder="1" applyAlignment="1" applyProtection="1">
      <alignment horizontal="center" vertical="center" wrapText="1"/>
    </xf>
    <xf numFmtId="0" fontId="15" fillId="15" borderId="0" xfId="0" applyFont="1" applyFill="1" applyAlignment="1" applyProtection="1">
      <alignment horizontal="center" vertical="center" wrapText="1"/>
    </xf>
    <xf numFmtId="0" fontId="6" fillId="0" borderId="6" xfId="0" applyFont="1" applyBorder="1" applyAlignment="1" applyProtection="1">
      <alignment wrapText="1"/>
    </xf>
    <xf numFmtId="0" fontId="6" fillId="0" borderId="7" xfId="0" applyFont="1" applyBorder="1" applyAlignment="1" applyProtection="1">
      <alignment wrapText="1"/>
    </xf>
  </cellXfs>
  <cellStyles count="1">
    <cellStyle name="Normal" xfId="0" builtinId="0"/>
  </cellStyles>
  <dxfs count="16"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showGridLines="0" zoomScale="100" zoomScaleNormal="100"/>
  </sheetViews>
  <sheetFormatPr defaultRowHeight="15" outlineLevelRow="0" outlineLevelCol="0" x14ac:dyDescent="0"/>
  <cols>
    <col min="1" max="1" width="20" customWidth="1"/>
    <col min="2" max="2" width="52" customWidth="1"/>
    <col min="3" max="3" width="42" customWidth="1"/>
    <col min="4" max="8" width="10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2"/>
      <c r="H1" s="2"/>
    </row>
    <row r="2" ht="28" customHeight="1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4" ht="30" customHeight="1" spans="1:3" x14ac:dyDescent="0.25">
      <c r="A4" s="4" t="s">
        <v>2</v>
      </c>
      <c r="B4" s="4" t="s">
        <v>3</v>
      </c>
      <c r="C4" s="4" t="s">
        <v>4</v>
      </c>
    </row>
    <row r="5" spans="1:3" x14ac:dyDescent="0.25">
      <c r="A5" s="5" t="s">
        <v>5</v>
      </c>
      <c r="B5" s="5" t="s">
        <v>6</v>
      </c>
      <c r="C5" s="5" t="s">
        <v>7</v>
      </c>
    </row>
    <row r="6" spans="1:3" x14ac:dyDescent="0.25">
      <c r="A6" s="6" t="s">
        <v>8</v>
      </c>
      <c r="B6" s="6" t="s">
        <v>9</v>
      </c>
      <c r="C6" s="6" t="s">
        <v>10</v>
      </c>
    </row>
    <row r="7" spans="1:3" x14ac:dyDescent="0.25">
      <c r="A7" s="6" t="s">
        <v>11</v>
      </c>
      <c r="B7" s="6" t="s">
        <v>12</v>
      </c>
      <c r="C7" s="6" t="s">
        <v>13</v>
      </c>
    </row>
    <row r="8" spans="1:3" x14ac:dyDescent="0.25">
      <c r="A8" s="6" t="s">
        <v>14</v>
      </c>
      <c r="B8" s="6" t="s">
        <v>15</v>
      </c>
      <c r="C8" s="6" t="s">
        <v>16</v>
      </c>
    </row>
    <row r="9" spans="1:3" x14ac:dyDescent="0.25">
      <c r="A9" s="6" t="s">
        <v>17</v>
      </c>
      <c r="B9" s="6" t="s">
        <v>18</v>
      </c>
      <c r="C9" s="6" t="s">
        <v>19</v>
      </c>
    </row>
    <row r="10" spans="1:3" x14ac:dyDescent="0.25">
      <c r="A10" s="6" t="s">
        <v>20</v>
      </c>
      <c r="B10" s="6" t="s">
        <v>21</v>
      </c>
      <c r="C10" s="6" t="s">
        <v>22</v>
      </c>
    </row>
    <row r="13" spans="1:8" x14ac:dyDescent="0.25">
      <c r="A13" s="7" t="s">
        <v>23</v>
      </c>
      <c r="B13" s="8"/>
      <c r="C13" s="8"/>
      <c r="D13" s="8"/>
      <c r="E13" s="8"/>
      <c r="F13" s="8"/>
      <c r="G13" s="8"/>
      <c r="H13" s="8"/>
    </row>
    <row r="14" spans="1:8" x14ac:dyDescent="0.25">
      <c r="A14" s="5" t="s">
        <v>24</v>
      </c>
      <c r="B14" s="5" t="s">
        <v>25</v>
      </c>
      <c r="C14" s="5"/>
      <c r="D14" s="5"/>
      <c r="E14" s="5"/>
      <c r="F14" s="5"/>
      <c r="G14" s="5"/>
      <c r="H14" s="5"/>
    </row>
    <row r="15" spans="1:8" x14ac:dyDescent="0.25">
      <c r="A15" s="6" t="s">
        <v>26</v>
      </c>
      <c r="B15" s="6" t="s">
        <v>27</v>
      </c>
      <c r="C15" s="6"/>
      <c r="D15" s="6"/>
      <c r="E15" s="6"/>
      <c r="F15" s="6"/>
      <c r="G15" s="6"/>
      <c r="H15" s="6"/>
    </row>
    <row r="16" spans="1:8" x14ac:dyDescent="0.25">
      <c r="A16" s="6" t="s">
        <v>28</v>
      </c>
      <c r="B16" s="6" t="s">
        <v>29</v>
      </c>
      <c r="C16" s="6"/>
      <c r="D16" s="6"/>
      <c r="E16" s="6"/>
      <c r="F16" s="6"/>
      <c r="G16" s="6"/>
      <c r="H16" s="6"/>
    </row>
    <row r="17" spans="1:8" x14ac:dyDescent="0.25">
      <c r="A17" s="6" t="s">
        <v>30</v>
      </c>
      <c r="B17" s="6" t="s">
        <v>31</v>
      </c>
      <c r="C17" s="6"/>
      <c r="D17" s="6"/>
      <c r="E17" s="6"/>
      <c r="F17" s="6"/>
      <c r="G17" s="6"/>
      <c r="H17" s="6"/>
    </row>
    <row r="18" spans="1:8" x14ac:dyDescent="0.25">
      <c r="A18" s="6" t="s">
        <v>32</v>
      </c>
      <c r="B18" s="6" t="s">
        <v>33</v>
      </c>
      <c r="C18" s="6"/>
      <c r="D18" s="6"/>
      <c r="E18" s="6"/>
      <c r="F18" s="6"/>
      <c r="G18" s="6"/>
      <c r="H18" s="6"/>
    </row>
  </sheetData>
  <sheetProtection sheet="1"/>
  <mergeCells count="8">
    <mergeCell ref="A1:H1"/>
    <mergeCell ref="A2:H2"/>
    <mergeCell ref="A13:H13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56" customWidth="1"/>
    <col min="3" max="3" width="42" customWidth="1"/>
    <col min="4" max="6" width="10" customWidth="1"/>
  </cols>
  <sheetData>
    <row r="1" ht="34" customHeight="1" spans="1:6" x14ac:dyDescent="0.25">
      <c r="A1" s="2" t="s">
        <v>34</v>
      </c>
      <c r="B1" s="2"/>
      <c r="C1" s="2"/>
      <c r="D1" s="2"/>
      <c r="E1" s="2"/>
      <c r="F1" s="2"/>
    </row>
    <row r="2" ht="28" customHeight="1" spans="1:7" x14ac:dyDescent="0.25">
      <c r="A2" s="3" t="s">
        <v>35</v>
      </c>
      <c r="B2" s="3"/>
      <c r="C2" s="3"/>
      <c r="D2" s="3"/>
      <c r="E2" s="3"/>
      <c r="F2" s="3"/>
      <c r="G2" s="8"/>
    </row>
    <row r="3" spans="1:7" x14ac:dyDescent="0.25">
      <c r="A3" s="8"/>
      <c r="B3" s="8"/>
      <c r="C3" s="8"/>
      <c r="D3" s="8"/>
      <c r="E3" s="8"/>
      <c r="F3" s="8"/>
      <c r="G3" s="8"/>
    </row>
    <row r="4" ht="30" customHeight="1" spans="1:3" x14ac:dyDescent="0.25">
      <c r="A4" s="4" t="s">
        <v>36</v>
      </c>
      <c r="B4" s="4" t="s">
        <v>3</v>
      </c>
      <c r="C4" s="4" t="s">
        <v>37</v>
      </c>
    </row>
    <row r="5" spans="1:3" x14ac:dyDescent="0.25">
      <c r="A5" s="9" t="s">
        <v>8</v>
      </c>
      <c r="B5" s="10" t="s">
        <v>9</v>
      </c>
      <c r="C5" s="9" t="s">
        <v>38</v>
      </c>
    </row>
    <row r="6" spans="1:3" x14ac:dyDescent="0.25">
      <c r="A6" s="9" t="s">
        <v>39</v>
      </c>
      <c r="B6" s="10" t="s">
        <v>40</v>
      </c>
      <c r="C6" s="9" t="s">
        <v>41</v>
      </c>
    </row>
    <row r="7" spans="1:3" x14ac:dyDescent="0.25">
      <c r="A7" s="9" t="s">
        <v>42</v>
      </c>
      <c r="B7" s="10" t="s">
        <v>43</v>
      </c>
      <c r="C7" s="9" t="s">
        <v>44</v>
      </c>
    </row>
    <row r="8" spans="1:3" x14ac:dyDescent="0.25">
      <c r="A8" s="9" t="s">
        <v>45</v>
      </c>
      <c r="B8" s="10" t="s">
        <v>46</v>
      </c>
      <c r="C8" s="9" t="s">
        <v>47</v>
      </c>
    </row>
    <row r="9" spans="1:3" x14ac:dyDescent="0.25">
      <c r="A9" s="9" t="s">
        <v>48</v>
      </c>
      <c r="B9" s="10" t="s">
        <v>49</v>
      </c>
      <c r="C9" s="9" t="s">
        <v>50</v>
      </c>
    </row>
    <row r="10" spans="1:3" x14ac:dyDescent="0.25">
      <c r="A10" s="9" t="s">
        <v>51</v>
      </c>
      <c r="B10" s="10" t="s">
        <v>52</v>
      </c>
      <c r="C10" s="9" t="s">
        <v>53</v>
      </c>
    </row>
    <row r="11" spans="1:3" x14ac:dyDescent="0.25">
      <c r="A11" s="9" t="s">
        <v>54</v>
      </c>
      <c r="B11" s="10" t="s">
        <v>55</v>
      </c>
      <c r="C11" s="9" t="s">
        <v>56</v>
      </c>
    </row>
    <row r="12" spans="1:3" x14ac:dyDescent="0.25">
      <c r="A12" s="9" t="s">
        <v>57</v>
      </c>
      <c r="B12" s="10" t="s">
        <v>58</v>
      </c>
      <c r="C12" s="9" t="s">
        <v>59</v>
      </c>
    </row>
    <row r="13" spans="1:3" x14ac:dyDescent="0.25">
      <c r="A13" s="9" t="s">
        <v>60</v>
      </c>
      <c r="B13" s="10" t="s">
        <v>61</v>
      </c>
      <c r="C13" s="9" t="s">
        <v>62</v>
      </c>
    </row>
    <row r="14" spans="1:3" x14ac:dyDescent="0.25">
      <c r="A14" s="9" t="s">
        <v>63</v>
      </c>
      <c r="B14" s="10" t="s">
        <v>64</v>
      </c>
      <c r="C14" s="9" t="s">
        <v>65</v>
      </c>
    </row>
    <row r="15" spans="1:3" x14ac:dyDescent="0.25">
      <c r="A15" s="9" t="s">
        <v>66</v>
      </c>
      <c r="B15" s="10" t="s">
        <v>67</v>
      </c>
      <c r="C15" s="9" t="s">
        <v>68</v>
      </c>
    </row>
    <row r="16" spans="1:3" x14ac:dyDescent="0.25">
      <c r="A16" s="9" t="s">
        <v>69</v>
      </c>
      <c r="B16" s="10" t="s">
        <v>70</v>
      </c>
      <c r="C16" s="9" t="s">
        <v>71</v>
      </c>
    </row>
    <row r="17" spans="1:3" x14ac:dyDescent="0.25">
      <c r="A17" s="11" t="s">
        <v>72</v>
      </c>
      <c r="B17" s="12" t="s">
        <v>73</v>
      </c>
      <c r="C17" s="11" t="s">
        <v>74</v>
      </c>
    </row>
    <row r="18" spans="1:3" x14ac:dyDescent="0.25">
      <c r="A18" s="11" t="s">
        <v>75</v>
      </c>
      <c r="B18" s="12" t="s">
        <v>76</v>
      </c>
      <c r="C18" s="11" t="s">
        <v>77</v>
      </c>
    </row>
    <row r="19" spans="1:3" x14ac:dyDescent="0.25">
      <c r="A19" s="11" t="s">
        <v>78</v>
      </c>
      <c r="B19" s="12" t="s">
        <v>79</v>
      </c>
      <c r="C19" s="11" t="s">
        <v>80</v>
      </c>
    </row>
  </sheetData>
  <sheetProtection sheet="1"/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 showGridLines="0" zoomScale="100" zoomScaleNormal="100"/>
  </sheetViews>
  <sheetFormatPr defaultRowHeight="15" outlineLevelRow="0" outlineLevelCol="0" x14ac:dyDescent="0"/>
  <cols>
    <col min="1" max="1" width="25" customWidth="1"/>
    <col min="2" max="2" width="34" customWidth="1"/>
    <col min="3" max="3" width="18" customWidth="1"/>
    <col min="4" max="4" width="12" customWidth="1"/>
    <col min="5" max="5" width="18" customWidth="1"/>
    <col min="6" max="6" width="42" customWidth="1"/>
  </cols>
  <sheetData>
    <row r="1" ht="34" customHeight="1" spans="1:6" x14ac:dyDescent="0.25">
      <c r="A1" s="2" t="s">
        <v>81</v>
      </c>
      <c r="B1" s="2"/>
      <c r="C1" s="2"/>
      <c r="D1" s="2"/>
      <c r="E1" s="2"/>
      <c r="F1" s="2"/>
    </row>
    <row r="2" ht="28" customHeight="1" spans="1:6" x14ac:dyDescent="0.25">
      <c r="A2" s="3" t="s">
        <v>82</v>
      </c>
      <c r="B2" s="3"/>
      <c r="C2" s="3"/>
      <c r="D2" s="3"/>
      <c r="E2" s="3"/>
      <c r="F2" s="3"/>
    </row>
    <row r="4" ht="30" customHeight="1" spans="1:6" x14ac:dyDescent="0.25">
      <c r="A4" s="4" t="s">
        <v>83</v>
      </c>
      <c r="B4" s="4" t="s">
        <v>84</v>
      </c>
      <c r="C4" s="4" t="s">
        <v>85</v>
      </c>
      <c r="D4" s="4" t="s">
        <v>14</v>
      </c>
      <c r="E4" s="4" t="s">
        <v>86</v>
      </c>
      <c r="F4" s="4" t="s">
        <v>87</v>
      </c>
    </row>
    <row r="5" spans="1:6" x14ac:dyDescent="0.25">
      <c r="A5" s="13" t="s">
        <v>88</v>
      </c>
      <c r="B5" s="14"/>
      <c r="C5" s="15"/>
      <c r="D5" s="14"/>
      <c r="E5" s="14"/>
      <c r="F5" s="14"/>
    </row>
    <row r="6" spans="1:6" x14ac:dyDescent="0.25">
      <c r="A6" s="16" t="s">
        <v>89</v>
      </c>
      <c r="B6" s="6" t="s">
        <v>90</v>
      </c>
      <c r="C6" s="17" t="s">
        <v>91</v>
      </c>
      <c r="D6" s="6"/>
      <c r="E6" s="6" t="s">
        <v>92</v>
      </c>
      <c r="F6" s="6" t="s">
        <v>93</v>
      </c>
    </row>
    <row r="7" spans="1:6" x14ac:dyDescent="0.25">
      <c r="A7" s="16" t="s">
        <v>94</v>
      </c>
      <c r="B7" s="6" t="s">
        <v>95</v>
      </c>
      <c r="C7" s="17" t="s">
        <v>40</v>
      </c>
      <c r="D7" s="6"/>
      <c r="E7" s="6" t="s">
        <v>96</v>
      </c>
      <c r="F7" s="6" t="s">
        <v>97</v>
      </c>
    </row>
    <row r="8" spans="1:6" x14ac:dyDescent="0.25">
      <c r="A8" s="16" t="s">
        <v>98</v>
      </c>
      <c r="B8" s="6" t="s">
        <v>99</v>
      </c>
      <c r="C8" s="17"/>
      <c r="D8" s="6"/>
      <c r="E8" s="6" t="s">
        <v>96</v>
      </c>
      <c r="F8" s="6"/>
    </row>
    <row r="9" spans="1:6" x14ac:dyDescent="0.25">
      <c r="A9" s="18" t="s">
        <v>100</v>
      </c>
      <c r="B9" s="19"/>
      <c r="C9" s="20"/>
      <c r="D9" s="19"/>
      <c r="E9" s="19"/>
      <c r="F9" s="19"/>
    </row>
    <row r="10" spans="1:6" x14ac:dyDescent="0.25">
      <c r="A10" s="16" t="s">
        <v>101</v>
      </c>
      <c r="B10" s="6" t="s">
        <v>102</v>
      </c>
      <c r="C10" s="21">
        <v>10</v>
      </c>
      <c r="D10" s="6" t="s">
        <v>103</v>
      </c>
      <c r="E10" s="6" t="s">
        <v>92</v>
      </c>
      <c r="F10" s="6" t="s">
        <v>104</v>
      </c>
    </row>
    <row r="11" spans="1:6" x14ac:dyDescent="0.25">
      <c r="A11" s="16" t="s">
        <v>105</v>
      </c>
      <c r="B11" s="6" t="s">
        <v>106</v>
      </c>
      <c r="C11" s="22">
        <v>2</v>
      </c>
      <c r="D11" s="6" t="s">
        <v>107</v>
      </c>
      <c r="E11" s="6" t="s">
        <v>92</v>
      </c>
      <c r="F11" s="6" t="s">
        <v>108</v>
      </c>
    </row>
    <row r="12" spans="1:6" x14ac:dyDescent="0.25">
      <c r="A12" s="16" t="s">
        <v>109</v>
      </c>
      <c r="B12" s="6" t="s">
        <v>110</v>
      </c>
      <c r="C12" s="22">
        <v>1000</v>
      </c>
      <c r="D12" s="6" t="s">
        <v>111</v>
      </c>
      <c r="E12" s="6" t="s">
        <v>112</v>
      </c>
      <c r="F12" s="6" t="s">
        <v>113</v>
      </c>
    </row>
    <row r="13" spans="1:6" x14ac:dyDescent="0.25">
      <c r="A13" s="16" t="s">
        <v>114</v>
      </c>
      <c r="B13" s="6" t="s">
        <v>115</v>
      </c>
      <c r="C13" s="22">
        <v>0.000001004</v>
      </c>
      <c r="D13" s="6" t="s">
        <v>116</v>
      </c>
      <c r="E13" s="6" t="s">
        <v>112</v>
      </c>
      <c r="F13" s="6" t="s">
        <v>113</v>
      </c>
    </row>
    <row r="14" spans="1:6" x14ac:dyDescent="0.25">
      <c r="A14" s="18" t="s">
        <v>54</v>
      </c>
      <c r="B14" s="19"/>
      <c r="C14" s="20"/>
      <c r="D14" s="19"/>
      <c r="E14" s="19"/>
      <c r="F14" s="19"/>
    </row>
    <row r="15" spans="1:6" x14ac:dyDescent="0.25">
      <c r="A15" s="16" t="s">
        <v>117</v>
      </c>
      <c r="B15" s="6" t="s">
        <v>118</v>
      </c>
      <c r="C15" s="22">
        <v>9</v>
      </c>
      <c r="D15" s="6" t="s">
        <v>119</v>
      </c>
      <c r="E15" s="6" t="s">
        <v>120</v>
      </c>
      <c r="F15" s="6" t="s">
        <v>121</v>
      </c>
    </row>
    <row r="16" spans="1:6" x14ac:dyDescent="0.25">
      <c r="A16" s="16" t="s">
        <v>122</v>
      </c>
      <c r="B16" s="6" t="s">
        <v>123</v>
      </c>
      <c r="C16" s="22">
        <v>12</v>
      </c>
      <c r="D16" s="6" t="s">
        <v>119</v>
      </c>
      <c r="E16" s="6" t="s">
        <v>120</v>
      </c>
      <c r="F16" s="6" t="s">
        <v>124</v>
      </c>
    </row>
    <row r="17" spans="1:6" x14ac:dyDescent="0.25">
      <c r="A17" s="16" t="s">
        <v>125</v>
      </c>
      <c r="B17" s="6" t="s">
        <v>126</v>
      </c>
      <c r="C17" s="22">
        <v>10</v>
      </c>
      <c r="D17" s="6" t="s">
        <v>127</v>
      </c>
      <c r="E17" s="6" t="s">
        <v>92</v>
      </c>
      <c r="F17" s="6" t="s">
        <v>128</v>
      </c>
    </row>
    <row r="18" spans="1:6" x14ac:dyDescent="0.25">
      <c r="A18" s="16" t="s">
        <v>129</v>
      </c>
      <c r="B18" s="6" t="s">
        <v>130</v>
      </c>
      <c r="C18" s="22">
        <v>0</v>
      </c>
      <c r="D18" s="6" t="s">
        <v>119</v>
      </c>
      <c r="E18" s="6" t="s">
        <v>92</v>
      </c>
      <c r="F18" s="6" t="s">
        <v>131</v>
      </c>
    </row>
    <row r="19" spans="1:6" x14ac:dyDescent="0.25">
      <c r="A19" s="16" t="s">
        <v>132</v>
      </c>
      <c r="B19" s="6" t="s">
        <v>133</v>
      </c>
      <c r="C19" s="22">
        <v>0</v>
      </c>
      <c r="D19" s="6"/>
      <c r="E19" s="6" t="s">
        <v>92</v>
      </c>
      <c r="F19" s="6" t="s">
        <v>134</v>
      </c>
    </row>
    <row r="20" spans="1:6" x14ac:dyDescent="0.25">
      <c r="A20" s="18" t="s">
        <v>135</v>
      </c>
      <c r="B20" s="19"/>
      <c r="C20" s="20"/>
      <c r="D20" s="19"/>
      <c r="E20" s="19"/>
      <c r="F20" s="19"/>
    </row>
    <row r="21" spans="1:6" x14ac:dyDescent="0.25">
      <c r="A21" s="16" t="s">
        <v>136</v>
      </c>
      <c r="B21" s="6" t="s">
        <v>137</v>
      </c>
      <c r="C21" s="22">
        <v>3</v>
      </c>
      <c r="D21" s="6" t="s">
        <v>119</v>
      </c>
      <c r="E21" s="6" t="s">
        <v>120</v>
      </c>
      <c r="F21" s="6" t="s">
        <v>138</v>
      </c>
    </row>
    <row r="22" spans="1:6" x14ac:dyDescent="0.25">
      <c r="A22" s="16" t="s">
        <v>139</v>
      </c>
      <c r="B22" s="6" t="s">
        <v>140</v>
      </c>
      <c r="C22" s="22">
        <v>5</v>
      </c>
      <c r="D22" s="6" t="s">
        <v>119</v>
      </c>
      <c r="E22" s="6" t="s">
        <v>120</v>
      </c>
      <c r="F22" s="6" t="s">
        <v>141</v>
      </c>
    </row>
    <row r="23" spans="1:6" x14ac:dyDescent="0.25">
      <c r="A23" s="16" t="s">
        <v>142</v>
      </c>
      <c r="B23" s="6" t="s">
        <v>143</v>
      </c>
      <c r="C23" s="22">
        <v>1</v>
      </c>
      <c r="D23" s="6" t="s">
        <v>127</v>
      </c>
      <c r="E23" s="6" t="s">
        <v>92</v>
      </c>
      <c r="F23" s="6" t="s">
        <v>128</v>
      </c>
    </row>
    <row r="24" spans="1:6" x14ac:dyDescent="0.25">
      <c r="A24" s="16" t="s">
        <v>144</v>
      </c>
      <c r="B24" s="6" t="s">
        <v>145</v>
      </c>
      <c r="C24" s="22">
        <v>0</v>
      </c>
      <c r="D24" s="6" t="s">
        <v>119</v>
      </c>
      <c r="E24" s="6" t="s">
        <v>92</v>
      </c>
      <c r="F24" s="6" t="s">
        <v>131</v>
      </c>
    </row>
    <row r="25" spans="1:6" x14ac:dyDescent="0.25">
      <c r="A25" s="16" t="s">
        <v>146</v>
      </c>
      <c r="B25" s="6" t="s">
        <v>147</v>
      </c>
      <c r="C25" s="22">
        <v>0</v>
      </c>
      <c r="D25" s="6"/>
      <c r="E25" s="6" t="s">
        <v>92</v>
      </c>
      <c r="F25" s="6" t="s">
        <v>134</v>
      </c>
    </row>
    <row r="26" spans="1:6" x14ac:dyDescent="0.25">
      <c r="A26" s="18" t="s">
        <v>148</v>
      </c>
      <c r="B26" s="19"/>
      <c r="C26" s="20"/>
      <c r="D26" s="19"/>
      <c r="E26" s="19"/>
      <c r="F26" s="19"/>
    </row>
    <row r="27" spans="1:6" x14ac:dyDescent="0.25">
      <c r="A27" s="16" t="s">
        <v>149</v>
      </c>
      <c r="B27" s="6" t="s">
        <v>150</v>
      </c>
      <c r="C27" s="22"/>
      <c r="D27" s="6" t="s">
        <v>151</v>
      </c>
      <c r="E27" s="6" t="s">
        <v>152</v>
      </c>
      <c r="F27" s="6" t="s">
        <v>153</v>
      </c>
    </row>
    <row r="28" spans="1:6" x14ac:dyDescent="0.25">
      <c r="A28" s="16" t="s">
        <v>154</v>
      </c>
      <c r="B28" s="6" t="s">
        <v>155</v>
      </c>
      <c r="C28" s="22"/>
      <c r="D28" s="6" t="s">
        <v>151</v>
      </c>
      <c r="E28" s="6" t="s">
        <v>152</v>
      </c>
      <c r="F28" s="6"/>
    </row>
    <row r="29" spans="1:6" x14ac:dyDescent="0.25">
      <c r="A29" s="16" t="s">
        <v>156</v>
      </c>
      <c r="B29" s="6" t="s">
        <v>157</v>
      </c>
      <c r="C29" s="22"/>
      <c r="D29" s="6" t="s">
        <v>151</v>
      </c>
      <c r="E29" s="6" t="s">
        <v>152</v>
      </c>
      <c r="F29" s="6" t="s">
        <v>158</v>
      </c>
    </row>
    <row r="30" spans="1:6" x14ac:dyDescent="0.25">
      <c r="A30" s="16" t="s">
        <v>159</v>
      </c>
      <c r="B30" s="6" t="s">
        <v>160</v>
      </c>
      <c r="C30" s="22"/>
      <c r="D30" s="6" t="s">
        <v>151</v>
      </c>
      <c r="E30" s="6" t="s">
        <v>152</v>
      </c>
      <c r="F30" s="6" t="s">
        <v>161</v>
      </c>
    </row>
    <row r="31" spans="1:6" x14ac:dyDescent="0.25">
      <c r="A31" s="16" t="s">
        <v>162</v>
      </c>
      <c r="B31" s="6" t="s">
        <v>163</v>
      </c>
      <c r="C31" s="22"/>
      <c r="D31" s="6" t="s">
        <v>151</v>
      </c>
      <c r="E31" s="6" t="s">
        <v>152</v>
      </c>
      <c r="F31" s="6" t="s">
        <v>164</v>
      </c>
    </row>
    <row r="32" spans="1:6" x14ac:dyDescent="0.25">
      <c r="A32" s="16" t="s">
        <v>165</v>
      </c>
      <c r="B32" s="6" t="s">
        <v>166</v>
      </c>
      <c r="C32" s="22">
        <v>0</v>
      </c>
      <c r="D32" s="6" t="s">
        <v>127</v>
      </c>
      <c r="E32" s="6" t="s">
        <v>92</v>
      </c>
      <c r="F32" s="6" t="s">
        <v>167</v>
      </c>
    </row>
    <row r="33" spans="1:6" x14ac:dyDescent="0.25">
      <c r="A33" s="16" t="s">
        <v>168</v>
      </c>
      <c r="B33" s="6" t="s">
        <v>169</v>
      </c>
      <c r="C33" s="22">
        <v>0</v>
      </c>
      <c r="D33" s="6" t="s">
        <v>151</v>
      </c>
      <c r="E33" s="6" t="s">
        <v>92</v>
      </c>
      <c r="F33" s="6" t="s">
        <v>170</v>
      </c>
    </row>
    <row r="34" spans="1:6" x14ac:dyDescent="0.25">
      <c r="A34" s="16" t="s">
        <v>171</v>
      </c>
      <c r="B34" s="6" t="s">
        <v>172</v>
      </c>
      <c r="C34" s="22"/>
      <c r="D34" s="6" t="s">
        <v>151</v>
      </c>
      <c r="E34" s="6" t="s">
        <v>173</v>
      </c>
      <c r="F34" s="6"/>
    </row>
    <row r="35" spans="1:6" x14ac:dyDescent="0.25">
      <c r="A35" s="16" t="s">
        <v>174</v>
      </c>
      <c r="B35" s="6" t="s">
        <v>175</v>
      </c>
      <c r="C35" s="22"/>
      <c r="D35" s="6" t="s">
        <v>151</v>
      </c>
      <c r="E35" s="6" t="s">
        <v>173</v>
      </c>
      <c r="F35" s="6"/>
    </row>
    <row r="36" spans="1:6" x14ac:dyDescent="0.25">
      <c r="A36" s="18" t="s">
        <v>176</v>
      </c>
      <c r="B36" s="19"/>
      <c r="C36" s="20"/>
      <c r="D36" s="19"/>
      <c r="E36" s="19"/>
      <c r="F36" s="19"/>
    </row>
    <row r="37" spans="1:6" x14ac:dyDescent="0.25">
      <c r="A37" s="16" t="s">
        <v>177</v>
      </c>
      <c r="B37" s="6" t="s">
        <v>178</v>
      </c>
      <c r="C37" s="22"/>
      <c r="D37" s="6" t="s">
        <v>151</v>
      </c>
      <c r="E37" s="6" t="s">
        <v>173</v>
      </c>
      <c r="F37" s="6"/>
    </row>
    <row r="38" spans="1:6" x14ac:dyDescent="0.25">
      <c r="A38" s="16" t="s">
        <v>179</v>
      </c>
      <c r="B38" s="6" t="s">
        <v>180</v>
      </c>
      <c r="C38" s="22"/>
      <c r="D38" s="6" t="s">
        <v>151</v>
      </c>
      <c r="E38" s="6" t="s">
        <v>173</v>
      </c>
      <c r="F38" s="6"/>
    </row>
    <row r="39" spans="1:6" x14ac:dyDescent="0.25">
      <c r="A39" s="16" t="s">
        <v>181</v>
      </c>
      <c r="B39" s="6" t="s">
        <v>182</v>
      </c>
      <c r="C39" s="22"/>
      <c r="D39" s="6" t="s">
        <v>151</v>
      </c>
      <c r="E39" s="6" t="s">
        <v>173</v>
      </c>
      <c r="F39" s="6" t="s">
        <v>183</v>
      </c>
    </row>
    <row r="40" spans="1:6" x14ac:dyDescent="0.25">
      <c r="A40" s="16" t="s">
        <v>184</v>
      </c>
      <c r="B40" s="6" t="s">
        <v>185</v>
      </c>
      <c r="C40" s="22"/>
      <c r="D40" s="6" t="s">
        <v>151</v>
      </c>
      <c r="E40" s="6" t="s">
        <v>173</v>
      </c>
      <c r="F40" s="6" t="s">
        <v>183</v>
      </c>
    </row>
    <row r="41" spans="1:6" x14ac:dyDescent="0.25">
      <c r="A41" s="16" t="s">
        <v>186</v>
      </c>
      <c r="B41" s="6" t="s">
        <v>187</v>
      </c>
      <c r="C41" s="22"/>
      <c r="D41" s="6" t="s">
        <v>151</v>
      </c>
      <c r="E41" s="6" t="s">
        <v>173</v>
      </c>
      <c r="F41" s="6" t="s">
        <v>188</v>
      </c>
    </row>
    <row r="42" spans="1:6" x14ac:dyDescent="0.25">
      <c r="A42" s="18" t="s">
        <v>189</v>
      </c>
      <c r="B42" s="19"/>
      <c r="C42" s="20"/>
      <c r="D42" s="19"/>
      <c r="E42" s="19"/>
      <c r="F42" s="19"/>
    </row>
    <row r="43" spans="1:6" x14ac:dyDescent="0.25">
      <c r="A43" s="16" t="s">
        <v>190</v>
      </c>
      <c r="B43" s="6" t="s">
        <v>191</v>
      </c>
      <c r="C43" s="22"/>
      <c r="D43" s="6" t="s">
        <v>151</v>
      </c>
      <c r="E43" s="6" t="s">
        <v>173</v>
      </c>
      <c r="F43" s="6"/>
    </row>
    <row r="44" spans="1:6" x14ac:dyDescent="0.25">
      <c r="A44" s="16" t="s">
        <v>192</v>
      </c>
      <c r="B44" s="6" t="s">
        <v>193</v>
      </c>
      <c r="C44" s="22"/>
      <c r="D44" s="6" t="s">
        <v>151</v>
      </c>
      <c r="E44" s="6" t="s">
        <v>173</v>
      </c>
      <c r="F44" s="6" t="s">
        <v>183</v>
      </c>
    </row>
    <row r="45" spans="1:6" x14ac:dyDescent="0.25">
      <c r="A45" s="16" t="s">
        <v>194</v>
      </c>
      <c r="B45" s="6" t="s">
        <v>195</v>
      </c>
      <c r="C45" s="22"/>
      <c r="D45" s="6" t="s">
        <v>151</v>
      </c>
      <c r="E45" s="6" t="s">
        <v>173</v>
      </c>
      <c r="F45" s="6"/>
    </row>
    <row r="46" spans="1:6" x14ac:dyDescent="0.25">
      <c r="A46" s="18" t="s">
        <v>196</v>
      </c>
      <c r="B46" s="19"/>
      <c r="C46" s="20"/>
      <c r="D46" s="19"/>
      <c r="E46" s="19"/>
      <c r="F46" s="19"/>
    </row>
    <row r="47" spans="1:6" x14ac:dyDescent="0.25">
      <c r="A47" s="16" t="s">
        <v>197</v>
      </c>
      <c r="B47" s="6" t="s">
        <v>198</v>
      </c>
      <c r="C47" s="22"/>
      <c r="D47" s="6" t="s">
        <v>151</v>
      </c>
      <c r="E47" s="6" t="s">
        <v>173</v>
      </c>
      <c r="F47" s="6"/>
    </row>
    <row r="48" spans="1:6" x14ac:dyDescent="0.25">
      <c r="A48" s="16" t="s">
        <v>199</v>
      </c>
      <c r="B48" s="6" t="s">
        <v>200</v>
      </c>
      <c r="C48" s="22"/>
      <c r="D48" s="6" t="s">
        <v>151</v>
      </c>
      <c r="E48" s="6" t="s">
        <v>173</v>
      </c>
      <c r="F48" s="6" t="s">
        <v>201</v>
      </c>
    </row>
    <row r="49" spans="1:6" x14ac:dyDescent="0.25">
      <c r="A49" s="16" t="s">
        <v>202</v>
      </c>
      <c r="B49" s="6" t="s">
        <v>203</v>
      </c>
      <c r="C49" s="22"/>
      <c r="D49" s="6" t="s">
        <v>151</v>
      </c>
      <c r="E49" s="6" t="s">
        <v>173</v>
      </c>
      <c r="F49" s="6"/>
    </row>
    <row r="50" spans="1:6" x14ac:dyDescent="0.25">
      <c r="A50" s="16" t="s">
        <v>204</v>
      </c>
      <c r="B50" s="6" t="s">
        <v>205</v>
      </c>
      <c r="C50" s="22"/>
      <c r="D50" s="6" t="s">
        <v>151</v>
      </c>
      <c r="E50" s="6" t="s">
        <v>173</v>
      </c>
      <c r="F50" s="6"/>
    </row>
    <row r="51" spans="1:6" x14ac:dyDescent="0.25">
      <c r="A51" s="18" t="s">
        <v>206</v>
      </c>
      <c r="B51" s="19"/>
      <c r="C51" s="20"/>
      <c r="D51" s="19"/>
      <c r="E51" s="19"/>
      <c r="F51" s="19"/>
    </row>
    <row r="52" spans="1:6" x14ac:dyDescent="0.25">
      <c r="A52" s="16" t="s">
        <v>207</v>
      </c>
      <c r="B52" s="6" t="s">
        <v>208</v>
      </c>
      <c r="C52" s="22">
        <v>0</v>
      </c>
      <c r="D52" s="6" t="s">
        <v>209</v>
      </c>
      <c r="E52" s="6" t="s">
        <v>92</v>
      </c>
      <c r="F52" s="6" t="s">
        <v>210</v>
      </c>
    </row>
    <row r="53" spans="1:6" x14ac:dyDescent="0.25">
      <c r="A53" s="16" t="s">
        <v>211</v>
      </c>
      <c r="B53" s="6" t="s">
        <v>212</v>
      </c>
      <c r="C53" s="22"/>
      <c r="D53" s="6" t="s">
        <v>209</v>
      </c>
      <c r="E53" s="6" t="s">
        <v>213</v>
      </c>
      <c r="F53" s="6"/>
    </row>
    <row r="54" spans="1:6" x14ac:dyDescent="0.25">
      <c r="A54" s="16" t="s">
        <v>214</v>
      </c>
      <c r="B54" s="6" t="s">
        <v>215</v>
      </c>
      <c r="C54" s="22"/>
      <c r="D54" s="6" t="s">
        <v>209</v>
      </c>
      <c r="E54" s="6" t="s">
        <v>216</v>
      </c>
      <c r="F54" s="6"/>
    </row>
    <row r="55" spans="1:6" x14ac:dyDescent="0.25">
      <c r="A55" s="16" t="s">
        <v>217</v>
      </c>
      <c r="B55" s="6" t="s">
        <v>218</v>
      </c>
      <c r="C55" s="22"/>
      <c r="D55" s="6" t="s">
        <v>219</v>
      </c>
      <c r="E55" s="6" t="s">
        <v>216</v>
      </c>
      <c r="F55" s="6"/>
    </row>
    <row r="56" spans="1:6" x14ac:dyDescent="0.25">
      <c r="A56" s="16" t="s">
        <v>220</v>
      </c>
      <c r="B56" s="6" t="s">
        <v>221</v>
      </c>
      <c r="C56" s="22">
        <v>0</v>
      </c>
      <c r="D56" s="6" t="s">
        <v>222</v>
      </c>
      <c r="E56" s="6" t="s">
        <v>92</v>
      </c>
      <c r="F56" s="6"/>
    </row>
    <row r="57" spans="1:6" x14ac:dyDescent="0.25">
      <c r="A57" s="16" t="s">
        <v>223</v>
      </c>
      <c r="B57" s="6" t="s">
        <v>224</v>
      </c>
      <c r="C57" s="22"/>
      <c r="D57" s="6" t="s">
        <v>107</v>
      </c>
      <c r="E57" s="6" t="s">
        <v>152</v>
      </c>
      <c r="F57" s="6"/>
    </row>
    <row r="58" spans="1:6" x14ac:dyDescent="0.25">
      <c r="A58" s="18" t="s">
        <v>225</v>
      </c>
      <c r="B58" s="19"/>
      <c r="C58" s="20"/>
      <c r="D58" s="19"/>
      <c r="E58" s="19"/>
      <c r="F58" s="19"/>
    </row>
    <row r="59" spans="1:6" x14ac:dyDescent="0.25">
      <c r="A59" s="16" t="s">
        <v>226</v>
      </c>
      <c r="B59" s="6" t="s">
        <v>227</v>
      </c>
      <c r="C59" s="17"/>
      <c r="D59" s="6"/>
      <c r="E59" s="6" t="s">
        <v>173</v>
      </c>
      <c r="F59" s="6"/>
    </row>
    <row r="60" spans="1:6" x14ac:dyDescent="0.25">
      <c r="A60" s="16" t="s">
        <v>228</v>
      </c>
      <c r="B60" s="6" t="s">
        <v>229</v>
      </c>
      <c r="C60" s="17"/>
      <c r="D60" s="6"/>
      <c r="E60" s="6" t="s">
        <v>173</v>
      </c>
      <c r="F60" s="6" t="s">
        <v>230</v>
      </c>
    </row>
    <row r="61" spans="1:6" x14ac:dyDescent="0.25">
      <c r="A61" s="16" t="s">
        <v>231</v>
      </c>
      <c r="B61" s="6" t="s">
        <v>232</v>
      </c>
      <c r="C61" s="22"/>
      <c r="D61" s="6" t="s">
        <v>151</v>
      </c>
      <c r="E61" s="6" t="s">
        <v>173</v>
      </c>
      <c r="F61" s="6"/>
    </row>
    <row r="62" spans="1:6" x14ac:dyDescent="0.25">
      <c r="A62" s="16" t="s">
        <v>233</v>
      </c>
      <c r="B62" s="6" t="s">
        <v>234</v>
      </c>
      <c r="C62" s="22"/>
      <c r="D62" s="6" t="s">
        <v>107</v>
      </c>
      <c r="E62" s="6" t="s">
        <v>173</v>
      </c>
      <c r="F62" s="6"/>
    </row>
    <row r="63" spans="1:6" x14ac:dyDescent="0.25">
      <c r="A63" s="16" t="s">
        <v>235</v>
      </c>
      <c r="B63" s="6" t="s">
        <v>236</v>
      </c>
      <c r="C63" s="22"/>
      <c r="D63" s="6" t="s">
        <v>107</v>
      </c>
      <c r="E63" s="6" t="s">
        <v>173</v>
      </c>
      <c r="F63" s="6"/>
    </row>
    <row r="64" spans="1:6" x14ac:dyDescent="0.25">
      <c r="A64" s="16" t="s">
        <v>237</v>
      </c>
      <c r="B64" s="6" t="s">
        <v>238</v>
      </c>
      <c r="C64" s="22"/>
      <c r="D64" s="6" t="s">
        <v>151</v>
      </c>
      <c r="E64" s="6" t="s">
        <v>173</v>
      </c>
      <c r="F64" s="6"/>
    </row>
    <row r="65" spans="1:6" x14ac:dyDescent="0.25">
      <c r="A65" s="16" t="s">
        <v>239</v>
      </c>
      <c r="B65" s="6" t="s">
        <v>240</v>
      </c>
      <c r="C65" s="22"/>
      <c r="D65" s="6" t="s">
        <v>151</v>
      </c>
      <c r="E65" s="6" t="s">
        <v>173</v>
      </c>
      <c r="F65" s="6"/>
    </row>
    <row r="66" spans="1:6" x14ac:dyDescent="0.25">
      <c r="A66" s="16" t="s">
        <v>241</v>
      </c>
      <c r="B66" s="6" t="s">
        <v>242</v>
      </c>
      <c r="C66" s="22"/>
      <c r="D66" s="6" t="s">
        <v>107</v>
      </c>
      <c r="E66" s="6" t="s">
        <v>173</v>
      </c>
      <c r="F66" s="6"/>
    </row>
    <row r="67" spans="1:6" x14ac:dyDescent="0.25">
      <c r="A67" s="16" t="s">
        <v>243</v>
      </c>
      <c r="B67" s="6" t="s">
        <v>244</v>
      </c>
      <c r="C67" s="22"/>
      <c r="D67" s="6" t="s">
        <v>107</v>
      </c>
      <c r="E67" s="6" t="s">
        <v>173</v>
      </c>
      <c r="F67" s="6"/>
    </row>
    <row r="68" spans="1:6" x14ac:dyDescent="0.25">
      <c r="A68" s="16" t="s">
        <v>245</v>
      </c>
      <c r="B68" s="6" t="s">
        <v>246</v>
      </c>
      <c r="C68" s="23"/>
      <c r="D68" s="6" t="s">
        <v>247</v>
      </c>
      <c r="E68" s="6" t="s">
        <v>173</v>
      </c>
      <c r="F68" s="6" t="s">
        <v>248</v>
      </c>
    </row>
    <row r="69" spans="1:6" x14ac:dyDescent="0.25">
      <c r="A69" s="18" t="s">
        <v>249</v>
      </c>
      <c r="B69" s="19"/>
      <c r="C69" s="20"/>
      <c r="D69" s="19"/>
      <c r="E69" s="19"/>
      <c r="F69" s="19"/>
    </row>
    <row r="70" spans="1:6" x14ac:dyDescent="0.25">
      <c r="A70" s="16" t="s">
        <v>250</v>
      </c>
      <c r="B70" s="6" t="s">
        <v>251</v>
      </c>
      <c r="C70" s="22"/>
      <c r="D70" s="6" t="s">
        <v>107</v>
      </c>
      <c r="E70" s="6" t="s">
        <v>152</v>
      </c>
      <c r="F70" s="6"/>
    </row>
    <row r="71" spans="1:6" x14ac:dyDescent="0.25">
      <c r="A71" s="16" t="s">
        <v>252</v>
      </c>
      <c r="B71" s="6" t="s">
        <v>253</v>
      </c>
      <c r="C71" s="22">
        <v>10</v>
      </c>
      <c r="D71" s="6" t="s">
        <v>219</v>
      </c>
      <c r="E71" s="6" t="s">
        <v>92</v>
      </c>
      <c r="F71" s="6"/>
    </row>
    <row r="72" spans="1:6" x14ac:dyDescent="0.25">
      <c r="A72" s="16" t="s">
        <v>254</v>
      </c>
      <c r="B72" s="6" t="s">
        <v>255</v>
      </c>
      <c r="C72" s="22"/>
      <c r="D72" s="6" t="s">
        <v>256</v>
      </c>
      <c r="E72" s="6" t="s">
        <v>152</v>
      </c>
      <c r="F72" s="6" t="s">
        <v>257</v>
      </c>
    </row>
    <row r="73" spans="1:6" x14ac:dyDescent="0.25">
      <c r="A73" s="16" t="s">
        <v>258</v>
      </c>
      <c r="B73" s="6" t="s">
        <v>259</v>
      </c>
      <c r="C73" s="22"/>
      <c r="D73" s="6" t="s">
        <v>256</v>
      </c>
      <c r="E73" s="6" t="s">
        <v>152</v>
      </c>
      <c r="F73" s="6" t="s">
        <v>257</v>
      </c>
    </row>
    <row r="74" spans="1:6" x14ac:dyDescent="0.25">
      <c r="A74" s="16" t="s">
        <v>260</v>
      </c>
      <c r="B74" s="6" t="s">
        <v>261</v>
      </c>
      <c r="C74" s="22"/>
      <c r="D74" s="6" t="s">
        <v>256</v>
      </c>
      <c r="E74" s="6" t="s">
        <v>152</v>
      </c>
      <c r="F74" s="6" t="s">
        <v>257</v>
      </c>
    </row>
    <row r="75" spans="1:6" x14ac:dyDescent="0.25">
      <c r="A75" s="16" t="s">
        <v>262</v>
      </c>
      <c r="B75" s="6" t="s">
        <v>263</v>
      </c>
      <c r="C75" s="22"/>
      <c r="D75" s="6" t="s">
        <v>256</v>
      </c>
      <c r="E75" s="6" t="s">
        <v>152</v>
      </c>
      <c r="F75" s="6" t="s">
        <v>257</v>
      </c>
    </row>
    <row r="76" spans="1:6" x14ac:dyDescent="0.25">
      <c r="A76" s="16" t="s">
        <v>264</v>
      </c>
      <c r="B76" s="6" t="s">
        <v>265</v>
      </c>
      <c r="C76" s="22"/>
      <c r="D76" s="6" t="s">
        <v>256</v>
      </c>
      <c r="E76" s="6" t="s">
        <v>152</v>
      </c>
      <c r="F76" s="6" t="s">
        <v>257</v>
      </c>
    </row>
    <row r="77" spans="1:6" x14ac:dyDescent="0.25">
      <c r="A77" s="16" t="s">
        <v>266</v>
      </c>
      <c r="B77" s="6" t="s">
        <v>267</v>
      </c>
      <c r="C77" s="22"/>
      <c r="D77" s="6" t="s">
        <v>256</v>
      </c>
      <c r="E77" s="6" t="s">
        <v>152</v>
      </c>
      <c r="F77" s="6" t="s">
        <v>257</v>
      </c>
    </row>
    <row r="78" spans="1:6" x14ac:dyDescent="0.25">
      <c r="A78" s="16" t="s">
        <v>268</v>
      </c>
      <c r="B78" s="6" t="s">
        <v>269</v>
      </c>
      <c r="C78" s="22"/>
      <c r="D78" s="6" t="s">
        <v>256</v>
      </c>
      <c r="E78" s="6" t="s">
        <v>152</v>
      </c>
      <c r="F78" s="6" t="s">
        <v>257</v>
      </c>
    </row>
    <row r="79" spans="1:6" x14ac:dyDescent="0.25">
      <c r="A79" s="16" t="s">
        <v>270</v>
      </c>
      <c r="B79" s="6" t="s">
        <v>271</v>
      </c>
      <c r="C79" s="22"/>
      <c r="D79" s="6" t="s">
        <v>256</v>
      </c>
      <c r="E79" s="6" t="s">
        <v>152</v>
      </c>
      <c r="F79" s="6" t="s">
        <v>257</v>
      </c>
    </row>
    <row r="80" spans="1:6" x14ac:dyDescent="0.25">
      <c r="A80" s="16" t="s">
        <v>272</v>
      </c>
      <c r="B80" s="6" t="s">
        <v>273</v>
      </c>
      <c r="C80" s="22"/>
      <c r="D80" s="6" t="s">
        <v>256</v>
      </c>
      <c r="E80" s="6" t="s">
        <v>152</v>
      </c>
      <c r="F80" s="6" t="s">
        <v>257</v>
      </c>
    </row>
    <row r="81" spans="1:6" x14ac:dyDescent="0.25">
      <c r="A81" s="16" t="s">
        <v>274</v>
      </c>
      <c r="B81" s="6" t="s">
        <v>275</v>
      </c>
      <c r="C81" s="22"/>
      <c r="D81" s="6" t="s">
        <v>256</v>
      </c>
      <c r="E81" s="6" t="s">
        <v>152</v>
      </c>
      <c r="F81" s="6" t="s">
        <v>257</v>
      </c>
    </row>
    <row r="82" spans="1:6" x14ac:dyDescent="0.25">
      <c r="A82" s="16" t="s">
        <v>276</v>
      </c>
      <c r="B82" s="6" t="s">
        <v>277</v>
      </c>
      <c r="C82" s="22"/>
      <c r="D82" s="6" t="s">
        <v>256</v>
      </c>
      <c r="E82" s="6" t="s">
        <v>152</v>
      </c>
      <c r="F82" s="6" t="s">
        <v>257</v>
      </c>
    </row>
    <row r="83" spans="1:6" x14ac:dyDescent="0.25">
      <c r="A83" s="16" t="s">
        <v>278</v>
      </c>
      <c r="B83" s="6" t="s">
        <v>279</v>
      </c>
      <c r="C83" s="22"/>
      <c r="D83" s="6" t="s">
        <v>256</v>
      </c>
      <c r="E83" s="6" t="s">
        <v>152</v>
      </c>
      <c r="F83" s="6" t="s">
        <v>257</v>
      </c>
    </row>
    <row r="84" spans="1:6" x14ac:dyDescent="0.25">
      <c r="A84" s="16" t="s">
        <v>280</v>
      </c>
      <c r="B84" s="6" t="s">
        <v>281</v>
      </c>
      <c r="C84" s="22"/>
      <c r="D84" s="6" t="s">
        <v>256</v>
      </c>
      <c r="E84" s="6" t="s">
        <v>152</v>
      </c>
      <c r="F84" s="6" t="s">
        <v>257</v>
      </c>
    </row>
    <row r="85" spans="1:6" x14ac:dyDescent="0.25">
      <c r="A85" s="16" t="s">
        <v>282</v>
      </c>
      <c r="B85" s="6" t="s">
        <v>283</v>
      </c>
      <c r="C85" s="22"/>
      <c r="D85" s="6" t="s">
        <v>256</v>
      </c>
      <c r="E85" s="6" t="s">
        <v>152</v>
      </c>
      <c r="F85" s="6" t="s">
        <v>257</v>
      </c>
    </row>
    <row r="86" spans="1:6" x14ac:dyDescent="0.25">
      <c r="A86" s="16" t="s">
        <v>284</v>
      </c>
      <c r="B86" s="6" t="s">
        <v>285</v>
      </c>
      <c r="C86" s="22"/>
      <c r="D86" s="6" t="s">
        <v>256</v>
      </c>
      <c r="E86" s="6" t="s">
        <v>152</v>
      </c>
      <c r="F86" s="6" t="s">
        <v>257</v>
      </c>
    </row>
    <row r="87" spans="1:6" x14ac:dyDescent="0.25">
      <c r="A87" s="16" t="s">
        <v>286</v>
      </c>
      <c r="B87" s="6" t="s">
        <v>287</v>
      </c>
      <c r="C87" s="22"/>
      <c r="D87" s="6" t="s">
        <v>256</v>
      </c>
      <c r="E87" s="6" t="s">
        <v>152</v>
      </c>
      <c r="F87" s="6" t="s">
        <v>257</v>
      </c>
    </row>
    <row r="88" ht="22" customHeight="1" spans="1:6" x14ac:dyDescent="0.25">
      <c r="A88" s="24" t="s">
        <v>288</v>
      </c>
      <c r="B88" s="24"/>
      <c r="C88" s="25"/>
      <c r="D88" s="24"/>
      <c r="E88" s="24"/>
      <c r="F88" s="24"/>
    </row>
    <row r="89" ht="22" customHeight="1" spans="1:6" x14ac:dyDescent="0.25">
      <c r="A89" s="26" t="s">
        <v>289</v>
      </c>
      <c r="B89" s="27" t="s">
        <v>290</v>
      </c>
      <c r="C89" s="28" t="s">
        <v>291</v>
      </c>
      <c r="D89" s="27"/>
      <c r="E89" s="27" t="s">
        <v>120</v>
      </c>
      <c r="F89" s="27" t="s">
        <v>292</v>
      </c>
    </row>
    <row r="90" ht="22" customHeight="1" spans="1:6" x14ac:dyDescent="0.25">
      <c r="A90" s="26" t="s">
        <v>293</v>
      </c>
      <c r="B90" s="27" t="s">
        <v>294</v>
      </c>
      <c r="C90" s="29">
        <v>5</v>
      </c>
      <c r="D90" s="27" t="s">
        <v>103</v>
      </c>
      <c r="E90" s="27" t="s">
        <v>295</v>
      </c>
      <c r="F90" s="27" t="s">
        <v>296</v>
      </c>
    </row>
    <row r="91" ht="22" customHeight="1" spans="1:6" x14ac:dyDescent="0.25">
      <c r="A91" s="26" t="s">
        <v>297</v>
      </c>
      <c r="B91" s="27" t="s">
        <v>298</v>
      </c>
      <c r="C91" s="30"/>
      <c r="D91" s="27" t="s">
        <v>107</v>
      </c>
      <c r="E91" s="27" t="s">
        <v>173</v>
      </c>
      <c r="F91" s="27"/>
    </row>
    <row r="92" ht="22" customHeight="1" spans="1:6" x14ac:dyDescent="0.25">
      <c r="A92" s="26" t="s">
        <v>299</v>
      </c>
      <c r="B92" s="27" t="s">
        <v>300</v>
      </c>
      <c r="C92" s="30"/>
      <c r="D92" s="27" t="s">
        <v>119</v>
      </c>
      <c r="E92" s="27" t="s">
        <v>216</v>
      </c>
      <c r="F92" s="27"/>
    </row>
    <row r="93" ht="22" customHeight="1" spans="1:6" x14ac:dyDescent="0.25">
      <c r="A93" s="26" t="s">
        <v>301</v>
      </c>
      <c r="B93" s="27" t="s">
        <v>302</v>
      </c>
      <c r="C93" s="30"/>
      <c r="D93" s="27" t="s">
        <v>119</v>
      </c>
      <c r="E93" s="27" t="s">
        <v>216</v>
      </c>
      <c r="F93" s="27"/>
    </row>
    <row r="94" ht="22" customHeight="1" spans="1:6" x14ac:dyDescent="0.25">
      <c r="A94" s="26" t="s">
        <v>303</v>
      </c>
      <c r="B94" s="27" t="s">
        <v>304</v>
      </c>
      <c r="C94" s="30"/>
      <c r="D94" s="27" t="s">
        <v>127</v>
      </c>
      <c r="E94" s="27" t="s">
        <v>96</v>
      </c>
      <c r="F94" s="27"/>
    </row>
    <row r="95" ht="22" customHeight="1" spans="1:6" x14ac:dyDescent="0.25">
      <c r="A95" s="26" t="s">
        <v>305</v>
      </c>
      <c r="B95" s="27" t="s">
        <v>306</v>
      </c>
      <c r="C95" s="30"/>
      <c r="D95" s="27" t="s">
        <v>119</v>
      </c>
      <c r="E95" s="27" t="s">
        <v>173</v>
      </c>
      <c r="F95" s="27"/>
    </row>
    <row r="96" ht="22" customHeight="1" spans="1:6" x14ac:dyDescent="0.25">
      <c r="A96" s="26" t="s">
        <v>307</v>
      </c>
      <c r="B96" s="27" t="s">
        <v>308</v>
      </c>
      <c r="C96" s="30"/>
      <c r="D96" s="27"/>
      <c r="E96" s="27" t="s">
        <v>216</v>
      </c>
      <c r="F96" s="27"/>
    </row>
    <row r="97" ht="22" customHeight="1" spans="1:6" x14ac:dyDescent="0.25">
      <c r="A97" s="26" t="s">
        <v>309</v>
      </c>
      <c r="B97" s="27" t="s">
        <v>310</v>
      </c>
      <c r="C97" s="30">
        <v>0</v>
      </c>
      <c r="D97" s="27" t="s">
        <v>127</v>
      </c>
      <c r="E97" s="27" t="s">
        <v>92</v>
      </c>
      <c r="F97" s="27" t="s">
        <v>311</v>
      </c>
    </row>
    <row r="98" ht="22" customHeight="1" spans="1:6" x14ac:dyDescent="0.25">
      <c r="A98" s="26" t="s">
        <v>312</v>
      </c>
      <c r="B98" s="27" t="s">
        <v>313</v>
      </c>
      <c r="C98" s="30"/>
      <c r="D98" s="27" t="s">
        <v>151</v>
      </c>
      <c r="E98" s="27" t="s">
        <v>152</v>
      </c>
      <c r="F98" s="27" t="s">
        <v>314</v>
      </c>
    </row>
    <row r="99" ht="22" customHeight="1" spans="1:6" x14ac:dyDescent="0.25">
      <c r="A99" s="26" t="s">
        <v>315</v>
      </c>
      <c r="B99" s="27" t="s">
        <v>316</v>
      </c>
      <c r="C99" s="30"/>
      <c r="D99" s="27" t="s">
        <v>151</v>
      </c>
      <c r="E99" s="27" t="s">
        <v>152</v>
      </c>
      <c r="F99" s="27" t="s">
        <v>317</v>
      </c>
    </row>
    <row r="100" ht="22" customHeight="1" spans="1:6" x14ac:dyDescent="0.25">
      <c r="A100" s="26" t="s">
        <v>318</v>
      </c>
      <c r="B100" s="27" t="s">
        <v>319</v>
      </c>
      <c r="C100" s="30"/>
      <c r="D100" s="27" t="s">
        <v>151</v>
      </c>
      <c r="E100" s="27" t="s">
        <v>173</v>
      </c>
      <c r="F100" s="27"/>
    </row>
    <row r="101" ht="22" customHeight="1" spans="1:6" x14ac:dyDescent="0.25">
      <c r="A101" s="26" t="s">
        <v>320</v>
      </c>
      <c r="B101" s="27" t="s">
        <v>321</v>
      </c>
      <c r="C101" s="30"/>
      <c r="D101" s="27" t="s">
        <v>151</v>
      </c>
      <c r="E101" s="27" t="s">
        <v>173</v>
      </c>
      <c r="F101" s="27"/>
    </row>
    <row r="102" ht="22" customHeight="1" spans="1:6" x14ac:dyDescent="0.25">
      <c r="A102" s="26" t="s">
        <v>322</v>
      </c>
      <c r="B102" s="27" t="s">
        <v>323</v>
      </c>
      <c r="C102" s="30">
        <v>0</v>
      </c>
      <c r="D102" s="27" t="s">
        <v>151</v>
      </c>
      <c r="E102" s="27" t="s">
        <v>92</v>
      </c>
      <c r="F102" s="27"/>
    </row>
    <row r="103" ht="22" customHeight="1" spans="1:6" x14ac:dyDescent="0.25">
      <c r="A103" s="26" t="s">
        <v>324</v>
      </c>
      <c r="B103" s="27" t="s">
        <v>325</v>
      </c>
      <c r="C103" s="30"/>
      <c r="D103" s="27" t="s">
        <v>151</v>
      </c>
      <c r="E103" s="27" t="s">
        <v>173</v>
      </c>
      <c r="F103" s="27" t="s">
        <v>326</v>
      </c>
    </row>
    <row r="104" ht="22" customHeight="1" spans="1:6" x14ac:dyDescent="0.25">
      <c r="A104" s="26" t="s">
        <v>327</v>
      </c>
      <c r="B104" s="27" t="s">
        <v>328</v>
      </c>
      <c r="C104" s="30"/>
      <c r="D104" s="27" t="s">
        <v>151</v>
      </c>
      <c r="E104" s="27" t="s">
        <v>173</v>
      </c>
      <c r="F104" s="27" t="s">
        <v>326</v>
      </c>
    </row>
    <row r="105" ht="22" customHeight="1" spans="1:6" x14ac:dyDescent="0.25">
      <c r="A105" s="26" t="s">
        <v>329</v>
      </c>
      <c r="B105" s="27" t="s">
        <v>330</v>
      </c>
      <c r="C105" s="30"/>
      <c r="D105" s="27" t="s">
        <v>151</v>
      </c>
      <c r="E105" s="27" t="s">
        <v>173</v>
      </c>
      <c r="F105" s="27"/>
    </row>
    <row r="106" ht="22" customHeight="1" spans="1:6" x14ac:dyDescent="0.25">
      <c r="A106" s="26" t="s">
        <v>331</v>
      </c>
      <c r="B106" s="27" t="s">
        <v>332</v>
      </c>
      <c r="C106" s="30"/>
      <c r="D106" s="27" t="s">
        <v>151</v>
      </c>
      <c r="E106" s="27" t="s">
        <v>173</v>
      </c>
      <c r="F106" s="27"/>
    </row>
    <row r="107" ht="22" customHeight="1" spans="1:6" x14ac:dyDescent="0.25">
      <c r="A107" s="26" t="s">
        <v>333</v>
      </c>
      <c r="B107" s="27" t="s">
        <v>334</v>
      </c>
      <c r="C107" s="30"/>
      <c r="D107" s="27" t="s">
        <v>151</v>
      </c>
      <c r="E107" s="27" t="s">
        <v>173</v>
      </c>
      <c r="F107" s="27"/>
    </row>
    <row r="108" ht="22" customHeight="1" spans="1:6" x14ac:dyDescent="0.25">
      <c r="A108" s="26" t="s">
        <v>335</v>
      </c>
      <c r="B108" s="27" t="s">
        <v>336</v>
      </c>
      <c r="C108" s="30"/>
      <c r="D108" s="27" t="s">
        <v>151</v>
      </c>
      <c r="E108" s="27" t="s">
        <v>173</v>
      </c>
      <c r="F108" s="27"/>
    </row>
    <row r="109" ht="22" customHeight="1" spans="1:6" x14ac:dyDescent="0.25">
      <c r="A109" s="24" t="s">
        <v>337</v>
      </c>
      <c r="B109" s="24"/>
      <c r="C109" s="25"/>
      <c r="D109" s="24"/>
      <c r="E109" s="24"/>
      <c r="F109" s="24"/>
    </row>
    <row r="110" ht="22" customHeight="1" spans="1:6" x14ac:dyDescent="0.25">
      <c r="A110" s="26" t="s">
        <v>338</v>
      </c>
      <c r="B110" s="27" t="s">
        <v>339</v>
      </c>
      <c r="C110" s="30"/>
      <c r="D110" s="27" t="s">
        <v>151</v>
      </c>
      <c r="E110" s="27" t="s">
        <v>152</v>
      </c>
      <c r="F110" s="27" t="s">
        <v>340</v>
      </c>
    </row>
    <row r="111" ht="22" customHeight="1" spans="1:6" x14ac:dyDescent="0.25">
      <c r="A111" s="26" t="s">
        <v>341</v>
      </c>
      <c r="B111" s="27" t="s">
        <v>342</v>
      </c>
      <c r="C111" s="30"/>
      <c r="D111" s="27" t="s">
        <v>151</v>
      </c>
      <c r="E111" s="27" t="s">
        <v>152</v>
      </c>
      <c r="F111" s="27" t="s">
        <v>340</v>
      </c>
    </row>
    <row r="112" ht="22" customHeight="1" spans="1:6" x14ac:dyDescent="0.25">
      <c r="A112" s="26" t="s">
        <v>343</v>
      </c>
      <c r="B112" s="27" t="s">
        <v>344</v>
      </c>
      <c r="C112" s="30">
        <v>0</v>
      </c>
      <c r="D112" s="27" t="s">
        <v>209</v>
      </c>
      <c r="E112" s="27" t="s">
        <v>92</v>
      </c>
      <c r="F112" s="27" t="s">
        <v>210</v>
      </c>
    </row>
    <row r="113" ht="22" customHeight="1" spans="1:6" x14ac:dyDescent="0.25">
      <c r="A113" s="26" t="s">
        <v>345</v>
      </c>
      <c r="B113" s="27" t="s">
        <v>346</v>
      </c>
      <c r="C113" s="30"/>
      <c r="D113" s="27" t="s">
        <v>209</v>
      </c>
      <c r="E113" s="27" t="s">
        <v>347</v>
      </c>
      <c r="F113" s="27"/>
    </row>
    <row r="114" ht="22" customHeight="1" spans="1:6" x14ac:dyDescent="0.25">
      <c r="A114" s="26" t="s">
        <v>348</v>
      </c>
      <c r="B114" s="27" t="s">
        <v>349</v>
      </c>
      <c r="C114" s="30"/>
      <c r="D114" s="27" t="s">
        <v>209</v>
      </c>
      <c r="E114" s="27" t="s">
        <v>350</v>
      </c>
      <c r="F114" s="27"/>
    </row>
    <row r="115" ht="22" customHeight="1" spans="1:6" x14ac:dyDescent="0.25">
      <c r="A115" s="26" t="s">
        <v>351</v>
      </c>
      <c r="B115" s="27" t="s">
        <v>352</v>
      </c>
      <c r="C115" s="30"/>
      <c r="D115" s="27" t="s">
        <v>219</v>
      </c>
      <c r="E115" s="27" t="s">
        <v>216</v>
      </c>
      <c r="F115" s="27" t="s">
        <v>353</v>
      </c>
    </row>
    <row r="116" ht="22" customHeight="1" spans="1:6" x14ac:dyDescent="0.25">
      <c r="A116" s="26" t="s">
        <v>354</v>
      </c>
      <c r="B116" s="27" t="s">
        <v>355</v>
      </c>
      <c r="C116" s="30">
        <v>0</v>
      </c>
      <c r="D116" s="27" t="s">
        <v>222</v>
      </c>
      <c r="E116" s="27" t="s">
        <v>92</v>
      </c>
      <c r="F116" s="27"/>
    </row>
    <row r="117" ht="22" customHeight="1" spans="1:6" x14ac:dyDescent="0.25">
      <c r="A117" s="26" t="s">
        <v>356</v>
      </c>
      <c r="B117" s="27" t="s">
        <v>357</v>
      </c>
      <c r="C117" s="30"/>
      <c r="D117" s="27" t="s">
        <v>107</v>
      </c>
      <c r="E117" s="27" t="s">
        <v>152</v>
      </c>
      <c r="F117" s="27" t="s">
        <v>358</v>
      </c>
    </row>
    <row r="118" ht="22" customHeight="1" spans="1:6" x14ac:dyDescent="0.25">
      <c r="A118" s="26" t="s">
        <v>359</v>
      </c>
      <c r="B118" s="27" t="s">
        <v>360</v>
      </c>
      <c r="C118" s="28"/>
      <c r="D118" s="27"/>
      <c r="E118" s="27" t="s">
        <v>361</v>
      </c>
      <c r="F118" s="27" t="s">
        <v>362</v>
      </c>
    </row>
    <row r="119" ht="22" customHeight="1" spans="1:6" x14ac:dyDescent="0.25">
      <c r="A119" s="26" t="s">
        <v>363</v>
      </c>
      <c r="B119" s="27" t="s">
        <v>364</v>
      </c>
      <c r="C119" s="31"/>
      <c r="D119" s="27" t="s">
        <v>247</v>
      </c>
      <c r="E119" s="27" t="s">
        <v>361</v>
      </c>
      <c r="F119" s="27" t="s">
        <v>365</v>
      </c>
    </row>
    <row r="120" ht="22" customHeight="1" spans="1:6" x14ac:dyDescent="0.25">
      <c r="A120" s="26" t="s">
        <v>366</v>
      </c>
      <c r="B120" s="27" t="s">
        <v>367</v>
      </c>
      <c r="C120" s="30"/>
      <c r="D120" s="27" t="s">
        <v>151</v>
      </c>
      <c r="E120" s="27" t="s">
        <v>173</v>
      </c>
      <c r="F120" s="27"/>
    </row>
    <row r="121" ht="22" customHeight="1" spans="1:6" x14ac:dyDescent="0.25">
      <c r="A121" s="26" t="s">
        <v>368</v>
      </c>
      <c r="B121" s="27" t="s">
        <v>369</v>
      </c>
      <c r="C121" s="30"/>
      <c r="D121" s="27" t="s">
        <v>151</v>
      </c>
      <c r="E121" s="27" t="s">
        <v>173</v>
      </c>
      <c r="F121" s="27"/>
    </row>
    <row r="122" ht="22" customHeight="1" spans="1:6" x14ac:dyDescent="0.25">
      <c r="A122" s="26" t="s">
        <v>370</v>
      </c>
      <c r="B122" s="27" t="s">
        <v>371</v>
      </c>
      <c r="C122" s="30"/>
      <c r="D122" s="27" t="s">
        <v>107</v>
      </c>
      <c r="E122" s="27" t="s">
        <v>173</v>
      </c>
      <c r="F122" s="27"/>
    </row>
    <row r="123" ht="22" customHeight="1" spans="1:6" x14ac:dyDescent="0.25">
      <c r="A123" s="26" t="s">
        <v>372</v>
      </c>
      <c r="B123" s="27" t="s">
        <v>373</v>
      </c>
      <c r="C123" s="30"/>
      <c r="D123" s="27" t="s">
        <v>107</v>
      </c>
      <c r="E123" s="27" t="s">
        <v>173</v>
      </c>
      <c r="F123" s="27"/>
    </row>
    <row r="124" ht="22" customHeight="1" spans="1:6" x14ac:dyDescent="0.25">
      <c r="A124" s="26" t="s">
        <v>374</v>
      </c>
      <c r="B124" s="27" t="s">
        <v>375</v>
      </c>
      <c r="C124" s="31"/>
      <c r="D124" s="27" t="s">
        <v>247</v>
      </c>
      <c r="E124" s="27" t="s">
        <v>173</v>
      </c>
      <c r="F124" s="27"/>
    </row>
    <row r="125" ht="22" customHeight="1" spans="1:6" x14ac:dyDescent="0.25">
      <c r="A125" s="26" t="s">
        <v>376</v>
      </c>
      <c r="B125" s="27" t="s">
        <v>377</v>
      </c>
      <c r="C125" s="30"/>
      <c r="D125" s="27" t="s">
        <v>107</v>
      </c>
      <c r="E125" s="27" t="s">
        <v>152</v>
      </c>
      <c r="F125" s="27"/>
    </row>
    <row r="126" spans="1:6" x14ac:dyDescent="0.25">
      <c r="A126" s="32" t="s">
        <v>378</v>
      </c>
      <c r="B126" s="32"/>
      <c r="C126" s="33"/>
      <c r="D126" s="32"/>
      <c r="E126" s="32"/>
      <c r="F126" s="32"/>
    </row>
    <row r="127" spans="1:6" x14ac:dyDescent="0.25">
      <c r="A127" s="34" t="s">
        <v>379</v>
      </c>
      <c r="B127" s="34" t="s">
        <v>380</v>
      </c>
      <c r="C127" s="35"/>
      <c r="D127" s="34" t="s">
        <v>107</v>
      </c>
      <c r="E127" s="34" t="s">
        <v>152</v>
      </c>
      <c r="F127" s="34" t="s">
        <v>381</v>
      </c>
    </row>
    <row r="128" spans="1:6" x14ac:dyDescent="0.25">
      <c r="A128" s="34" t="s">
        <v>382</v>
      </c>
      <c r="B128" s="34" t="s">
        <v>383</v>
      </c>
      <c r="C128" s="35"/>
      <c r="D128" s="34" t="s">
        <v>107</v>
      </c>
      <c r="E128" s="34" t="s">
        <v>152</v>
      </c>
      <c r="F128" s="34" t="s">
        <v>384</v>
      </c>
    </row>
    <row r="129" spans="1:6" x14ac:dyDescent="0.25">
      <c r="A129" s="34" t="s">
        <v>385</v>
      </c>
      <c r="B129" s="34" t="s">
        <v>386</v>
      </c>
      <c r="C129" s="35"/>
      <c r="D129" s="34" t="s">
        <v>119</v>
      </c>
      <c r="E129" s="34" t="s">
        <v>173</v>
      </c>
      <c r="F129" s="34" t="s">
        <v>387</v>
      </c>
    </row>
    <row r="130" spans="1:6" x14ac:dyDescent="0.25">
      <c r="A130" s="34" t="s">
        <v>388</v>
      </c>
      <c r="B130" s="34" t="s">
        <v>389</v>
      </c>
      <c r="C130" s="35">
        <v>12</v>
      </c>
      <c r="D130" s="34" t="s">
        <v>119</v>
      </c>
      <c r="E130" s="34" t="s">
        <v>295</v>
      </c>
      <c r="F130" s="34" t="s">
        <v>390</v>
      </c>
    </row>
    <row r="131" spans="1:6" x14ac:dyDescent="0.25">
      <c r="A131" s="34" t="s">
        <v>391</v>
      </c>
      <c r="B131" s="34" t="s">
        <v>392</v>
      </c>
      <c r="C131" s="35"/>
      <c r="D131" s="34" t="s">
        <v>127</v>
      </c>
      <c r="E131" s="34" t="s">
        <v>152</v>
      </c>
      <c r="F131" s="34" t="s">
        <v>393</v>
      </c>
    </row>
    <row r="132" spans="1:6" x14ac:dyDescent="0.25">
      <c r="A132" s="34" t="s">
        <v>394</v>
      </c>
      <c r="B132" s="34" t="s">
        <v>395</v>
      </c>
      <c r="C132" s="35"/>
      <c r="D132" s="34" t="s">
        <v>119</v>
      </c>
      <c r="E132" s="34" t="s">
        <v>173</v>
      </c>
      <c r="F132" s="34" t="s">
        <v>396</v>
      </c>
    </row>
    <row r="133" spans="1:6" x14ac:dyDescent="0.25">
      <c r="A133" s="34" t="s">
        <v>397</v>
      </c>
      <c r="B133" s="34" t="s">
        <v>398</v>
      </c>
      <c r="C133" s="35"/>
      <c r="D133" s="34"/>
      <c r="E133" s="34" t="s">
        <v>399</v>
      </c>
      <c r="F133" s="34" t="s">
        <v>134</v>
      </c>
    </row>
  </sheetData>
  <sheetProtection sheet="1"/>
  <mergeCells count="13">
    <mergeCell ref="A1:F1"/>
    <mergeCell ref="A2:F2"/>
    <mergeCell ref="A5:F5"/>
    <mergeCell ref="A9:F9"/>
    <mergeCell ref="A14:F14"/>
    <mergeCell ref="A20:F20"/>
    <mergeCell ref="A26:F26"/>
    <mergeCell ref="A36:F36"/>
    <mergeCell ref="A42:F42"/>
    <mergeCell ref="A46:F46"/>
    <mergeCell ref="A51:F51"/>
    <mergeCell ref="A58:F58"/>
    <mergeCell ref="A69:F69"/>
  </mergeCells>
  <conditionalFormatting sqref="E5:E87">
    <cfRule type="containsText" dxfId="0" priority="1">
      <formula>NOT(ISERROR(SEARCH("undefined",E5)))</formula>
    </cfRule>
    <cfRule type="containsText" dxfId="1" priority="2">
      <formula>NOT(ISERROR(SEARCH("undefined",E5)))</formula>
    </cfRule>
    <cfRule type="containsText" dxfId="2" priority="3">
      <formula>NOT(ISERROR(SEARCH("undefined",E5)))</formula>
    </cfRule>
    <cfRule type="containsText" dxfId="3" priority="4">
      <formula>NOT(ISERROR(SEARCH("undefined",E5)))</formula>
    </cfRule>
  </conditionalFormatting>
  <dataValidations count="4">
    <dataValidation type="list" sqref="C119">
      <formula1>"true,false"</formula1>
    </dataValidation>
    <dataValidation type="list" sqref="C124">
      <formula1>"true,false"</formula1>
    </dataValidation>
    <dataValidation type="list" sqref="C68">
      <formula1>"TRUE,FALSE"</formula1>
    </dataValidation>
    <dataValidation type="list" sqref="C89">
      <formula1>"停止,清水滴灌,滴灌施肥,清水喷灌,上空喷药"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showGridLines="0" zoomScale="100" zoomScaleNormal="100"/>
  </sheetViews>
  <sheetFormatPr defaultRowHeight="15" outlineLevelRow="0" outlineLevelCol="0" x14ac:dyDescent="0"/>
  <cols>
    <col min="1" max="1" width="34" customWidth="1"/>
    <col min="2" max="3" width="22" customWidth="1"/>
    <col min="4" max="4" width="38" customWidth="1"/>
    <col min="5" max="5" width="34" customWidth="1"/>
  </cols>
  <sheetData>
    <row r="1" ht="34" customHeight="1" spans="1:5" x14ac:dyDescent="0.25">
      <c r="A1" s="36" t="s">
        <v>400</v>
      </c>
      <c r="B1" s="36"/>
      <c r="C1" s="36"/>
      <c r="D1" s="36"/>
      <c r="E1" s="36"/>
    </row>
    <row r="2" ht="28" customHeight="1" spans="1:5" x14ac:dyDescent="0.25">
      <c r="A2" s="37" t="s">
        <v>401</v>
      </c>
      <c r="B2" s="37"/>
      <c r="C2" s="37"/>
      <c r="D2" s="37"/>
      <c r="E2" s="37"/>
    </row>
    <row r="4" ht="30" customHeight="1" spans="1:5" x14ac:dyDescent="0.25">
      <c r="A4" s="38" t="s">
        <v>2</v>
      </c>
      <c r="B4" s="38" t="s">
        <v>54</v>
      </c>
      <c r="C4" s="38" t="s">
        <v>402</v>
      </c>
      <c r="D4" s="38" t="s">
        <v>403</v>
      </c>
      <c r="E4" s="38" t="s">
        <v>404</v>
      </c>
    </row>
    <row r="5" spans="1:5" x14ac:dyDescent="0.25">
      <c r="A5" s="39" t="s">
        <v>405</v>
      </c>
      <c r="B5" s="40">
        <f>'02_工况输入'!C10*'02_工况输入'!C11</f>
        <v>20</v>
      </c>
      <c r="C5" s="40">
        <f>'02_工况输入'!C11*2</f>
        <v>4</v>
      </c>
      <c r="D5" s="40">
        <f>'02_工况输入'!C11</f>
        <v>2</v>
      </c>
      <c r="E5" s="39" t="s">
        <v>107</v>
      </c>
    </row>
    <row r="6" spans="1:5" x14ac:dyDescent="0.25">
      <c r="A6" s="39" t="s">
        <v>406</v>
      </c>
      <c r="B6" s="40">
        <f>B5/3600000</f>
        <v>0.000005555555555555556</v>
      </c>
      <c r="C6" s="40">
        <f>C5/3600000</f>
        <v>0.000001111111111111111</v>
      </c>
      <c r="D6" s="40">
        <f>D5/3600000</f>
        <v>5.555555555555555e-7</v>
      </c>
      <c r="E6" s="39" t="s">
        <v>407</v>
      </c>
    </row>
    <row r="7" spans="1:5" x14ac:dyDescent="0.25">
      <c r="A7" s="39" t="s">
        <v>408</v>
      </c>
      <c r="B7" s="40">
        <f>'02_工况输入'!C15</f>
        <v>9</v>
      </c>
      <c r="C7" s="40">
        <f>IF('02_工况输入'!C129="","",'02_工况输入'!C129)</f>
      </c>
      <c r="D7" s="40">
        <f>'02_工况输入'!C21</f>
        <v>3</v>
      </c>
      <c r="E7" s="39" t="s">
        <v>119</v>
      </c>
    </row>
    <row r="8" spans="1:5" x14ac:dyDescent="0.25">
      <c r="A8" s="39" t="s">
        <v>409</v>
      </c>
      <c r="B8" s="40">
        <f>'02_工况输入'!C17</f>
        <v>10</v>
      </c>
      <c r="C8" s="40">
        <f>IF('02_工况输入'!C131="","",'02_工况输入'!C131)</f>
      </c>
      <c r="D8" s="40">
        <f>'02_工况输入'!C23</f>
        <v>1</v>
      </c>
      <c r="E8" s="39" t="s">
        <v>127</v>
      </c>
    </row>
    <row r="9" spans="1:5" x14ac:dyDescent="0.25">
      <c r="A9" s="39" t="s">
        <v>410</v>
      </c>
      <c r="B9" s="40">
        <f>'02_工况输入'!C18</f>
        <v>0</v>
      </c>
      <c r="C9" s="40">
        <f>IF('02_工况输入'!C132="","",'02_工况输入'!C132)</f>
      </c>
      <c r="D9" s="40">
        <f>'02_工况输入'!C24</f>
        <v>0</v>
      </c>
      <c r="E9" s="39" t="s">
        <v>119</v>
      </c>
    </row>
    <row r="10" spans="1:5" x14ac:dyDescent="0.25">
      <c r="A10" s="39" t="s">
        <v>411</v>
      </c>
      <c r="B10" s="40">
        <f>'02_工况输入'!C19</f>
        <v>0</v>
      </c>
      <c r="C10" s="40">
        <f>IF('02_工况输入'!C133="","",'02_工况输入'!C133)</f>
      </c>
      <c r="D10" s="40">
        <f>'02_工况输入'!C25</f>
        <v>0</v>
      </c>
      <c r="E10" s="39" t="s">
        <v>412</v>
      </c>
    </row>
    <row r="11" spans="1:5" x14ac:dyDescent="0.25">
      <c r="A11" s="39" t="s">
        <v>413</v>
      </c>
      <c r="B11" s="40">
        <f>IF(B7="","",PI()*(B7/1000)^2/4)</f>
        <v>0.0000636172512351933</v>
      </c>
      <c r="C11" s="40">
        <f>IF(C7="","",PI()*(C7/1000)^2/4)</f>
      </c>
      <c r="D11" s="40">
        <f>IF(D7="","",PI()*(D7/1000)^2/4)</f>
        <v>0.000007068583470577034</v>
      </c>
      <c r="E11" s="39" t="s">
        <v>414</v>
      </c>
    </row>
    <row r="12" spans="1:5" x14ac:dyDescent="0.25">
      <c r="A12" s="39" t="s">
        <v>415</v>
      </c>
      <c r="B12" s="40">
        <f>IF(OR(B6="",B11=""),"",B6/B11)</f>
        <v>0.08732781513958593</v>
      </c>
      <c r="C12" s="40">
        <f>IF(OR(C6="",C11=""),"",C6/C11)</f>
      </c>
      <c r="D12" s="40">
        <f>IF(OR(D6="",D11=""),"",D6/D11)</f>
        <v>0.07859503362562732</v>
      </c>
      <c r="E12" s="39" t="s">
        <v>416</v>
      </c>
    </row>
    <row r="13" spans="1:5" x14ac:dyDescent="0.25">
      <c r="A13" s="39" t="s">
        <v>417</v>
      </c>
      <c r="B13" s="40">
        <f>IF(OR(B12="",'02_工况输入'!C13=""),"",B12*(B7/1000)/'02_工况输入'!C13)</f>
        <v>782.8190600162084</v>
      </c>
      <c r="C13" s="40">
        <f>IF(OR(C12="",'02_工况输入'!C13=""),"",C12*(C7/1000)/'02_工况输入'!C13)</f>
      </c>
      <c r="D13" s="40">
        <f>IF(OR(D12="",'02_工况输入'!C13=""),"",D12*(D7/1000)/'02_工况输入'!C13)</f>
        <v>234.84571800486253</v>
      </c>
      <c r="E13" s="39" t="s">
        <v>412</v>
      </c>
    </row>
    <row r="14" spans="1:5" x14ac:dyDescent="0.25">
      <c r="A14" s="39" t="s">
        <v>418</v>
      </c>
      <c r="B14" s="40" t="str">
        <f>IF(B13="","",IF(B13&lt;2300,"层流",IF(B13&lt;=4000,"过渡区","湍流")))</f>
        <v>层流</v>
      </c>
      <c r="C14" s="40">
        <f>IF(C13="","",IF(C13&lt;2300,"层流",IF(C13&lt;=4000,"过渡区","湍流")))</f>
      </c>
      <c r="D14" s="40" t="str">
        <f>IF(D13="","",IF(D13&lt;2300,"层流",IF(D13&lt;=4000,"过渡区","湍流")))</f>
        <v>层流</v>
      </c>
      <c r="E14" s="39" t="s">
        <v>412</v>
      </c>
    </row>
    <row r="15" spans="1:5" x14ac:dyDescent="0.25">
      <c r="A15" s="39" t="s">
        <v>419</v>
      </c>
      <c r="B15" s="40">
        <f>IF(B13="","",IF(B13&lt;2300,64/B13,IF(B13&lt;=4000,"",0.25/(LOG10((B9/B7)/3.7+5.74/(B13^0.9))^2))))</f>
        <v>0.08175580190737164</v>
      </c>
      <c r="C15" s="40">
        <f>IF(C13="","",IF(C13&lt;2300,64/C13,IF(C13&lt;=4000,"",0.25/(LOG10((C9/C7)/3.7+5.74/(C13^0.9))^2))))</f>
      </c>
      <c r="D15" s="40">
        <f>IF(D13="","",IF(D13&lt;2300,64/D13,IF(D13&lt;=4000,"",0.25/(LOG10((D9/D7)/3.7+5.74/(D13^0.9))^2))))</f>
        <v>0.27251933969123876</v>
      </c>
      <c r="E15" s="39" t="s">
        <v>412</v>
      </c>
    </row>
    <row r="16" spans="1:5" x14ac:dyDescent="0.25">
      <c r="A16" s="39" t="s">
        <v>420</v>
      </c>
      <c r="B16" s="40">
        <f>IF(OR(B15="",B8="",B7="",B12=""),"",B15*(B8/(B7/1000))*('02_工况输入'!C12*B12^2/2)/1000000)</f>
        <v>0.000346378770963533</v>
      </c>
      <c r="C16" s="40">
        <f>IF(OR(C15="",C8="",C7="",C12=""),"",C15*(C8/(C7/1000))*('02_工况输入'!C12*C12^2/2)/1000000)</f>
      </c>
      <c r="D16" s="40">
        <f>IF(OR(D15="",D8="",D7="",D12=""),"",D15*(D8/(D7/1000))*('02_工况输入'!C12*D12^2/2)/1000000)</f>
        <v>0.0002805668044804616</v>
      </c>
      <c r="E16" s="39" t="s">
        <v>151</v>
      </c>
    </row>
    <row r="17" spans="1:5" x14ac:dyDescent="0.25">
      <c r="A17" s="39" t="s">
        <v>421</v>
      </c>
      <c r="B17" s="40">
        <f>IF(OR(B10="",B12=""),"",B10*('02_工况输入'!C12*B12^2/2)/1000000)</f>
      </c>
      <c r="C17" s="40">
        <f>IF(OR(C10="",C12=""),"",C10*('02_工况输入'!C12*C12^2/2)/1000000)</f>
      </c>
      <c r="D17" s="40">
        <f>IF(OR(D10="",D12=""),"",D10*('02_工况输入'!C12*D12^2/2)/1000000)</f>
      </c>
      <c r="E17" s="39" t="s">
        <v>151</v>
      </c>
    </row>
    <row r="18" spans="1:5" x14ac:dyDescent="0.25">
      <c r="A18" s="39" t="s">
        <v>422</v>
      </c>
      <c r="B18" s="40">
        <f>IF(OR(B16="",B17=""),"",B16+B17)</f>
      </c>
      <c r="C18" s="40">
        <f>IF(OR(C16="",C17=""),"",C16+C17)</f>
      </c>
      <c r="D18" s="40">
        <f>IF(OR(D16="",D17=""),"",D16+D17)</f>
      </c>
      <c r="E18" s="39" t="s">
        <v>151</v>
      </c>
    </row>
    <row r="19" spans="1:5" x14ac:dyDescent="0.25">
      <c r="A19" s="39" t="s">
        <v>423</v>
      </c>
      <c r="B19" s="40">
        <f>IF(OR(B11="",B8=""),"",B11*B8*1000)</f>
        <v>0.6361725123519331</v>
      </c>
      <c r="C19" s="40">
        <f>IF(OR(C11="",C8=""),"",C11*C8*1000)</f>
      </c>
      <c r="D19" s="40">
        <f>IF(OR(D11="",D8=""),"",D11*D8*1000)</f>
        <v>0.007068583470577035</v>
      </c>
      <c r="E19" s="39" t="s">
        <v>222</v>
      </c>
    </row>
    <row r="20" spans="1:5" x14ac:dyDescent="0.25">
      <c r="A20" s="39"/>
      <c r="B20" s="40"/>
      <c r="C20" s="40"/>
      <c r="D20" s="40"/>
      <c r="E20" s="39"/>
    </row>
    <row r="21" spans="1:5" x14ac:dyDescent="0.25">
      <c r="A21" s="39" t="s">
        <v>424</v>
      </c>
      <c r="B21" s="40">
        <f>IF(OR(B19="",C19="",D19=""),"",B19+5*C19+10*D19)</f>
      </c>
      <c r="C21" s="40"/>
      <c r="D21" s="40"/>
      <c r="E21" s="39" t="s">
        <v>425</v>
      </c>
    </row>
  </sheetData>
  <sheetProtection sheet="1"/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3" width="24" customWidth="1"/>
    <col min="4" max="4" width="38" customWidth="1"/>
  </cols>
  <sheetData>
    <row r="1" ht="34" customHeight="1" spans="1:4" x14ac:dyDescent="0.25">
      <c r="A1" s="2" t="s">
        <v>426</v>
      </c>
      <c r="B1" s="2"/>
      <c r="C1" s="2"/>
      <c r="D1" s="2"/>
    </row>
    <row r="2" ht="28" customHeight="1" spans="1:4" x14ac:dyDescent="0.25">
      <c r="A2" s="3" t="s">
        <v>427</v>
      </c>
      <c r="B2" s="3"/>
      <c r="C2" s="3"/>
      <c r="D2" s="3"/>
    </row>
    <row r="4" ht="30" customHeight="1" spans="1:4" x14ac:dyDescent="0.25">
      <c r="A4" s="4" t="s">
        <v>2</v>
      </c>
      <c r="B4" s="4" t="s">
        <v>428</v>
      </c>
      <c r="C4" s="4" t="s">
        <v>429</v>
      </c>
      <c r="D4" s="4" t="s">
        <v>430</v>
      </c>
    </row>
    <row r="5" spans="1:4" x14ac:dyDescent="0.25">
      <c r="A5" s="5" t="s">
        <v>150</v>
      </c>
      <c r="B5" s="41">
        <f>IF('02_工况输入'!$C$27=0,"",'02_工况输入'!$C$27)</f>
      </c>
      <c r="C5" s="41">
        <f>IF('02_工况输入'!$C$27=0,"",'02_工况输入'!$C$27)</f>
      </c>
      <c r="D5" s="5" t="s">
        <v>151</v>
      </c>
    </row>
    <row r="6" spans="1:4" x14ac:dyDescent="0.25">
      <c r="A6" s="6" t="s">
        <v>431</v>
      </c>
      <c r="B6" s="42">
        <f>IF('02_工况输入'!$C$37=0,"",'02_工况输入'!$C$37)</f>
      </c>
      <c r="C6" s="42">
        <f>IF('02_工况输入'!$C$37=0,"",'02_工况输入'!$C$37)</f>
      </c>
      <c r="D6" s="6" t="s">
        <v>151</v>
      </c>
    </row>
    <row r="7" spans="1:4" x14ac:dyDescent="0.25">
      <c r="A7" s="6" t="s">
        <v>432</v>
      </c>
      <c r="B7" s="42">
        <f>IF('02_工况输入'!$C$38=0,"",'02_工况输入'!$C$38)</f>
      </c>
      <c r="C7" s="42">
        <f>IF('02_工况输入'!$C$38=0,"",'02_工况输入'!$C$38)</f>
      </c>
      <c r="D7" s="6" t="s">
        <v>151</v>
      </c>
    </row>
    <row r="8" spans="1:4" x14ac:dyDescent="0.25">
      <c r="A8" s="6" t="s">
        <v>433</v>
      </c>
      <c r="B8" s="42">
        <f>IF(OR('02_工况输入'!$C$39="",'02_工况输入'!$C$40="",'02_工况输入'!$C$43="",'02_工况输入'!$C$44="",'02_工况输入'!$C$45=""),"",'02_工况输入'!$C$39+'02_工况输入'!$C$40+'02_工况输入'!$C$43+'02_工况输入'!$C$44+'02_工况输入'!$C$45)</f>
      </c>
      <c r="C8" s="42">
        <f>IF(OR('02_工况输入'!$C$39="",'02_工况输入'!$C$41="",'02_工况输入'!$C$43="",'02_工况输入'!$C$44="",'02_工况输入'!$C$45=""),"",'02_工况输入'!$C$39+'02_工况输入'!$C$41+'02_工况输入'!$C$43+'02_工况输入'!$C$44+'02_工况输入'!$C$45)</f>
      </c>
      <c r="D8" s="6" t="s">
        <v>151</v>
      </c>
    </row>
    <row r="9" spans="1:4" x14ac:dyDescent="0.25">
      <c r="A9" s="6" t="s">
        <v>434</v>
      </c>
      <c r="B9" s="42">
        <f>IF(OR(B6="",B7="",B8=""),"",B6+B7+B8)</f>
      </c>
      <c r="C9" s="42">
        <f>IF(OR(C6="",C7="",C8=""),"",C6+C7+C8)</f>
      </c>
      <c r="D9" s="6" t="s">
        <v>151</v>
      </c>
    </row>
    <row r="10" spans="1:4" x14ac:dyDescent="0.25">
      <c r="A10" s="6" t="s">
        <v>435</v>
      </c>
      <c r="B10" s="42">
        <f>IF(OR(B5="",B9=""),"",B5-B9)</f>
      </c>
      <c r="C10" s="42">
        <f>IF(OR(C5="",C9=""),"",C5-C9)</f>
      </c>
      <c r="D10" s="6" t="s">
        <v>151</v>
      </c>
    </row>
    <row r="11" spans="1:4" x14ac:dyDescent="0.25">
      <c r="A11" s="6" t="s">
        <v>436</v>
      </c>
      <c r="B11" s="43" t="str">
        <f>IF(B10="","待确认",IF(B10&gt;=0,"已计算","不适用"))</f>
        <v>待确认</v>
      </c>
      <c r="C11" s="43" t="str">
        <f>IF(C10="","待确认",IF(C10&gt;=0,"已计算","不适用"))</f>
        <v>待确认</v>
      </c>
      <c r="D11" s="6" t="s">
        <v>437</v>
      </c>
    </row>
    <row r="12" spans="1:4" x14ac:dyDescent="0.25">
      <c r="A12" s="6" t="s">
        <v>4</v>
      </c>
      <c r="B12" s="43" t="s">
        <v>438</v>
      </c>
      <c r="C12" s="43" t="s">
        <v>439</v>
      </c>
      <c r="D12" s="6" t="s">
        <v>440</v>
      </c>
    </row>
  </sheetData>
  <sheetProtection sheet="1"/>
  <mergeCells count="2">
    <mergeCell ref="A1:D1"/>
    <mergeCell ref="A2:D2"/>
  </mergeCells>
  <conditionalFormatting sqref="B11:C11">
    <cfRule type="containsText" dxfId="4" priority="1">
      <formula>NOT(ISERROR(SEARCH("undefined",B11)))</formula>
    </cfRule>
    <cfRule type="containsText" dxfId="5" priority="2">
      <formula>NOT(ISERROR(SEARCH("undefined",B11)))</formula>
    </cfRule>
    <cfRule type="containsText" dxfId="6" priority="3">
      <formula>NOT(ISERROR(SEARCH("undefined",B11)))</formula>
    </cfRule>
    <cfRule type="containsText" dxfId="7" priority="4">
      <formula>NOT(ISERROR(SEARCH("undefined",B11)))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 zoomScale="100" zoomScaleNormal="100"/>
  </sheetViews>
  <sheetFormatPr defaultRowHeight="15" outlineLevelRow="0" outlineLevelCol="0" x14ac:dyDescent="0"/>
  <cols>
    <col min="1" max="1" width="34" customWidth="1"/>
    <col min="2" max="4" width="22" customWidth="1"/>
    <col min="5" max="5" width="34" customWidth="1"/>
  </cols>
  <sheetData>
    <row r="1" ht="34" customHeight="1" spans="1:5" x14ac:dyDescent="0.25">
      <c r="A1" s="36" t="s">
        <v>441</v>
      </c>
      <c r="B1" s="36"/>
      <c r="C1" s="36"/>
      <c r="D1" s="36"/>
      <c r="E1" s="36"/>
    </row>
    <row r="2" ht="28" customHeight="1" spans="1:5" x14ac:dyDescent="0.25">
      <c r="A2" s="37" t="s">
        <v>442</v>
      </c>
      <c r="B2" s="37"/>
      <c r="C2" s="37"/>
      <c r="D2" s="37"/>
      <c r="E2" s="37"/>
    </row>
    <row r="4" ht="30" customHeight="1" spans="1:5" x14ac:dyDescent="0.25">
      <c r="A4" s="38" t="s">
        <v>2</v>
      </c>
      <c r="B4" s="38" t="s">
        <v>443</v>
      </c>
      <c r="C4" s="38" t="s">
        <v>444</v>
      </c>
      <c r="D4" s="38" t="s">
        <v>445</v>
      </c>
      <c r="E4" s="38" t="s">
        <v>446</v>
      </c>
    </row>
    <row r="5" spans="1:5" x14ac:dyDescent="0.25">
      <c r="A5" s="39" t="s">
        <v>447</v>
      </c>
      <c r="B5" s="40">
        <f>IF('02_工况输入'!C29="","",'02_工况输入'!C29)</f>
      </c>
      <c r="C5" s="40"/>
      <c r="D5" s="40"/>
      <c r="E5" s="39" t="s">
        <v>151</v>
      </c>
    </row>
    <row r="6" spans="1:5" x14ac:dyDescent="0.25">
      <c r="A6" s="39" t="s">
        <v>448</v>
      </c>
      <c r="B6" s="40">
        <f>IF('02_工况输入'!C30="","",'02_工况输入'!C30)</f>
      </c>
      <c r="C6" s="40"/>
      <c r="D6" s="40"/>
      <c r="E6" s="39" t="s">
        <v>151</v>
      </c>
    </row>
    <row r="7" spans="1:5" x14ac:dyDescent="0.25">
      <c r="A7" s="39" t="s">
        <v>449</v>
      </c>
      <c r="B7" s="40">
        <f>IF(OR(B5="",B6=""),"",B5-B6)</f>
      </c>
      <c r="C7" s="40"/>
      <c r="D7" s="40"/>
      <c r="E7" s="39" t="s">
        <v>450</v>
      </c>
    </row>
    <row r="8" spans="1:5" x14ac:dyDescent="0.25">
      <c r="A8" s="39" t="s">
        <v>451</v>
      </c>
      <c r="B8" s="40">
        <f>'02_工况输入'!C10*'02_工况输入'!C11</f>
        <v>20</v>
      </c>
      <c r="C8" s="40"/>
      <c r="D8" s="40"/>
      <c r="E8" s="39" t="s">
        <v>452</v>
      </c>
    </row>
    <row r="9" spans="1:5" x14ac:dyDescent="0.25">
      <c r="A9" s="39" t="s">
        <v>453</v>
      </c>
      <c r="B9" s="40">
        <f>IF('06_肥液与桶'!B8="","",'06_肥液与桶'!B8)</f>
      </c>
      <c r="C9" s="40"/>
      <c r="D9" s="40"/>
      <c r="E9" s="39" t="s">
        <v>107</v>
      </c>
    </row>
    <row r="10" spans="1:5" x14ac:dyDescent="0.25">
      <c r="A10" s="39" t="s">
        <v>454</v>
      </c>
      <c r="B10" s="40">
        <f>IF('02_工况输入'!C127="","",'02_工况输入'!C127)</f>
      </c>
      <c r="C10" s="40"/>
      <c r="D10" s="40"/>
      <c r="E10" s="39" t="s">
        <v>455</v>
      </c>
    </row>
    <row r="11" spans="1:5" x14ac:dyDescent="0.25">
      <c r="A11" s="39" t="s">
        <v>456</v>
      </c>
      <c r="B11" s="40">
        <f>IF('02_工况输入'!C62="","",'02_工况输入'!C62)</f>
      </c>
      <c r="C11" s="40"/>
      <c r="D11" s="40"/>
      <c r="E11" s="39" t="s">
        <v>151</v>
      </c>
    </row>
    <row r="12" spans="1:5" x14ac:dyDescent="0.25">
      <c r="A12" s="39" t="s">
        <v>457</v>
      </c>
      <c r="B12" s="40">
        <f>IF('02_工况输入'!C63="","",'02_工况输入'!C63)</f>
      </c>
      <c r="C12" s="40"/>
      <c r="D12" s="40">
        <f>IF('02_工况输入'!C64="","",'02_工况输入'!C64)</f>
      </c>
      <c r="E12" s="39" t="s">
        <v>107</v>
      </c>
    </row>
    <row r="13" spans="1:5" x14ac:dyDescent="0.25">
      <c r="A13" s="39" t="s">
        <v>458</v>
      </c>
      <c r="B13" s="40">
        <f>IF('02_工况输入'!C65="","",'02_工况输入'!C65)</f>
      </c>
      <c r="C13" s="40"/>
      <c r="D13" s="40"/>
      <c r="E13" s="39" t="s">
        <v>151</v>
      </c>
    </row>
    <row r="14" spans="1:5" x14ac:dyDescent="0.25">
      <c r="A14" s="39" t="s">
        <v>459</v>
      </c>
      <c r="B14" s="40">
        <f>IF('02_工况输入'!C66="","",'02_工况输入'!C66)</f>
      </c>
      <c r="C14" s="40"/>
      <c r="D14" s="40"/>
      <c r="E14" s="39" t="s">
        <v>151</v>
      </c>
    </row>
    <row r="15" spans="1:5" x14ac:dyDescent="0.25">
      <c r="A15" s="39" t="s">
        <v>460</v>
      </c>
      <c r="B15" s="40">
        <f>IF('02_工况输入'!C67="","",'02_工况输入'!C67)</f>
      </c>
      <c r="C15" s="40"/>
      <c r="D15" s="40"/>
      <c r="E15" s="39" t="s">
        <v>107</v>
      </c>
    </row>
    <row r="16" spans="1:5" x14ac:dyDescent="0.25">
      <c r="A16" s="39" t="s">
        <v>461</v>
      </c>
      <c r="B16" s="40">
        <f>IF('02_工况输入'!C68="","",'02_工况输入'!C68)</f>
      </c>
      <c r="C16" s="40"/>
      <c r="D16" s="40"/>
      <c r="E16" s="39" t="s">
        <v>107</v>
      </c>
    </row>
    <row r="17" spans="1:5" x14ac:dyDescent="0.25">
      <c r="A17" s="39" t="s">
        <v>462</v>
      </c>
      <c r="B17" s="40">
        <f>IF('02_工况输入'!C69="","",'02_工况输入'!C69)</f>
      </c>
      <c r="C17" s="40"/>
      <c r="D17" s="40"/>
      <c r="E17" s="39" t="s">
        <v>463</v>
      </c>
    </row>
    <row r="18" spans="1:5" x14ac:dyDescent="0.25">
      <c r="A18" s="39" t="s">
        <v>464</v>
      </c>
      <c r="B18" s="40" t="str">
        <f>IF(B17&lt;&gt;TRUE,"待厂家确认",IF(OR(B5="",B6="",B7="",B10="",B11="",C12="",D12="",D13="",D14="",D15="",D16=""),"待确认",IF(OR(B7&lt;=0,B5&gt;B11,B10&lt;C12,B10&gt;D12,B9&gt;D16),"不适用","已计算")))</f>
        <v>待厂家确认</v>
      </c>
      <c r="C18" s="40"/>
      <c r="D18" s="40"/>
      <c r="E18" s="39" t="s">
        <v>465</v>
      </c>
    </row>
  </sheetData>
  <sheetProtection sheet="1"/>
  <mergeCells count="2">
    <mergeCell ref="A1:E1"/>
    <mergeCell ref="A2:E2"/>
  </mergeCells>
  <conditionalFormatting sqref="B18:B18">
    <cfRule type="containsText" dxfId="8" priority="1">
      <formula>NOT(ISERROR(SEARCH("undefined",B18)))</formula>
    </cfRule>
    <cfRule type="containsText" dxfId="9" priority="2">
      <formula>NOT(ISERROR(SEARCH("undefined",B18)))</formula>
    </cfRule>
    <cfRule type="containsText" dxfId="10" priority="3">
      <formula>NOT(ISERROR(SEARCH("undefined",B18)))</formula>
    </cfRule>
    <cfRule type="containsText" dxfId="11" priority="4">
      <formula>NOT(ISERROR(SEARCH("undefined",B18)))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2" width="23" customWidth="1"/>
    <col min="3" max="3" width="15" customWidth="1"/>
    <col min="4" max="4" width="52" customWidth="1"/>
  </cols>
  <sheetData>
    <row r="1" ht="34" customHeight="1" spans="1:4" x14ac:dyDescent="0.25">
      <c r="A1" s="2" t="s">
        <v>466</v>
      </c>
      <c r="B1" s="2"/>
      <c r="C1" s="2"/>
      <c r="D1" s="2"/>
    </row>
    <row r="2" ht="28" customHeight="1" spans="1:4" x14ac:dyDescent="0.25">
      <c r="A2" s="3" t="s">
        <v>467</v>
      </c>
      <c r="B2" s="3"/>
      <c r="C2" s="3"/>
      <c r="D2" s="3"/>
    </row>
    <row r="4" ht="30" customHeight="1" spans="1:4" x14ac:dyDescent="0.25">
      <c r="A4" s="4" t="s">
        <v>2</v>
      </c>
      <c r="B4" s="4" t="s">
        <v>85</v>
      </c>
      <c r="C4" s="4" t="s">
        <v>14</v>
      </c>
      <c r="D4" s="4" t="s">
        <v>468</v>
      </c>
    </row>
    <row r="5" spans="1:4" x14ac:dyDescent="0.25">
      <c r="A5" s="5" t="s">
        <v>469</v>
      </c>
      <c r="B5" s="41">
        <f>'03_管路水力'!B5</f>
        <v>20</v>
      </c>
      <c r="C5" s="5" t="s">
        <v>107</v>
      </c>
      <c r="D5" s="5" t="s">
        <v>470</v>
      </c>
    </row>
    <row r="6" spans="1:4" x14ac:dyDescent="0.25">
      <c r="A6" s="6" t="s">
        <v>471</v>
      </c>
      <c r="B6" s="42">
        <f>'02_工况输入'!$C$52</f>
        <v>0</v>
      </c>
      <c r="C6" s="6" t="s">
        <v>209</v>
      </c>
      <c r="D6" s="6" t="s">
        <v>472</v>
      </c>
    </row>
    <row r="7" spans="1:4" x14ac:dyDescent="0.25">
      <c r="A7" s="6" t="s">
        <v>473</v>
      </c>
      <c r="B7" s="42">
        <f>IF('02_工况输入'!$C$53=0,"",'02_工况输入'!$C$53)</f>
      </c>
      <c r="C7" s="6" t="s">
        <v>209</v>
      </c>
      <c r="D7" s="6" t="s">
        <v>474</v>
      </c>
    </row>
    <row r="8" spans="1:4" x14ac:dyDescent="0.25">
      <c r="A8" s="6" t="s">
        <v>475</v>
      </c>
      <c r="B8" s="42">
        <f>IF('02_工况输入'!$C$54=0,"",'02_工况输入'!$C$54)</f>
      </c>
      <c r="C8" s="6" t="s">
        <v>209</v>
      </c>
      <c r="D8" s="6" t="s">
        <v>476</v>
      </c>
    </row>
    <row r="9" spans="1:4" x14ac:dyDescent="0.25">
      <c r="A9" s="6" t="s">
        <v>477</v>
      </c>
      <c r="B9" s="42">
        <f>IF('02_工况输入'!$C$55=0,"",'02_工况输入'!$C$55)</f>
      </c>
      <c r="C9" s="6" t="s">
        <v>219</v>
      </c>
      <c r="D9" s="6"/>
    </row>
    <row r="10" spans="1:4" x14ac:dyDescent="0.25">
      <c r="A10" s="6" t="s">
        <v>453</v>
      </c>
      <c r="B10" s="42">
        <f>IF(OR(B7="",B8=""),"",IF(OR(B7&lt;=B6,B8&lt;B6,B8&gt;=B7),"",B5*(B8-B6)/(B7-B6)))</f>
      </c>
      <c r="C10" s="6" t="s">
        <v>107</v>
      </c>
      <c r="D10" s="6" t="s">
        <v>478</v>
      </c>
    </row>
    <row r="11" spans="1:4" x14ac:dyDescent="0.25">
      <c r="A11" s="6" t="s">
        <v>479</v>
      </c>
      <c r="B11" s="42">
        <f>IF(OR(B5="",B8=""),"",B5-B8)</f>
      </c>
      <c r="C11" s="6" t="s">
        <v>107</v>
      </c>
      <c r="D11" s="6" t="s">
        <v>480</v>
      </c>
    </row>
    <row r="12" spans="1:4" x14ac:dyDescent="0.25">
      <c r="A12" s="6" t="s">
        <v>481</v>
      </c>
      <c r="B12" s="42">
        <f>IF(OR(B10="",B9=""),"",B10*B9/60)</f>
      </c>
      <c r="C12" s="6" t="s">
        <v>222</v>
      </c>
      <c r="D12" s="6" t="s">
        <v>482</v>
      </c>
    </row>
    <row r="13" spans="1:4" x14ac:dyDescent="0.25">
      <c r="A13" s="6" t="s">
        <v>221</v>
      </c>
      <c r="B13" s="42">
        <f>'02_工况输入'!$C$56</f>
        <v>0</v>
      </c>
      <c r="C13" s="6" t="s">
        <v>222</v>
      </c>
      <c r="D13" s="6"/>
    </row>
    <row r="14" spans="1:4" x14ac:dyDescent="0.25">
      <c r="A14" s="6" t="s">
        <v>483</v>
      </c>
      <c r="B14" s="42">
        <f>IF(B12="","",B12+B13)</f>
      </c>
      <c r="C14" s="6" t="s">
        <v>222</v>
      </c>
      <c r="D14" s="6" t="s">
        <v>484</v>
      </c>
    </row>
  </sheetData>
  <sheetProtection sheet="1"/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 zoomScale="100" zoomScaleNormal="100"/>
  </sheetViews>
  <sheetFormatPr defaultRowHeight="15" outlineLevelRow="0" outlineLevelCol="0" x14ac:dyDescent="0"/>
  <cols>
    <col min="1" max="1" width="16" customWidth="1"/>
    <col min="2" max="4" width="22" customWidth="1"/>
    <col min="5" max="5" width="18" customWidth="1"/>
    <col min="6" max="6" width="36" customWidth="1"/>
  </cols>
  <sheetData>
    <row r="1" ht="34" customHeight="1" spans="1:6" x14ac:dyDescent="0.25">
      <c r="A1" s="2" t="s">
        <v>485</v>
      </c>
      <c r="B1" s="2"/>
      <c r="C1" s="2"/>
      <c r="D1" s="2"/>
      <c r="E1" s="2"/>
      <c r="F1" s="2"/>
    </row>
    <row r="2" ht="28" customHeight="1" spans="1:6" x14ac:dyDescent="0.25">
      <c r="A2" s="3" t="s">
        <v>486</v>
      </c>
      <c r="B2" s="3"/>
      <c r="C2" s="3"/>
      <c r="D2" s="3"/>
      <c r="E2" s="3"/>
      <c r="F2" s="3"/>
    </row>
    <row r="4" ht="30" customHeight="1" spans="1:6" x14ac:dyDescent="0.25">
      <c r="A4" s="4" t="s">
        <v>487</v>
      </c>
      <c r="B4" s="4" t="s">
        <v>488</v>
      </c>
      <c r="C4" s="4" t="s">
        <v>489</v>
      </c>
      <c r="D4" s="4" t="s">
        <v>490</v>
      </c>
      <c r="E4" s="4" t="s">
        <v>491</v>
      </c>
      <c r="F4" s="4" t="s">
        <v>4</v>
      </c>
    </row>
    <row r="5" spans="1:6" x14ac:dyDescent="0.25">
      <c r="A5" s="5">
        <v>1</v>
      </c>
      <c r="B5" s="44">
        <f>IF('02_工况输入'!$C$72=0,"",'02_工况输入'!$C$72)</f>
      </c>
      <c r="C5" s="44">
        <f>IF(OR(B5="",'02_工况输入'!$C$71&lt;=0),"",B5*60/(1000*'02_工况输入'!$C$71))</f>
      </c>
      <c r="D5" s="44">
        <f>IF(ROW()-4&lt;=COUNT('02_工况输入'!$C$72:$C$87)/4,SMALL($C$5:$C$20,ROW()-4),"")</f>
      </c>
      <c r="E5" s="5"/>
      <c r="F5" s="5"/>
    </row>
    <row r="6" spans="1:6" x14ac:dyDescent="0.25">
      <c r="A6" s="6">
        <v>2</v>
      </c>
      <c r="B6" s="45">
        <f>IF('02_工况输入'!$C$73=0,"",'02_工况输入'!$C$73)</f>
      </c>
      <c r="C6" s="45">
        <f>IF(OR(B6="",'02_工况输入'!$C$71&lt;=0),"",B6*60/(1000*'02_工况输入'!$C$71))</f>
      </c>
      <c r="D6" s="45">
        <f>IF(ROW()-4&lt;=COUNT('02_工况输入'!$C$72:$C$87)/4,SMALL($C$5:$C$20,ROW()-4),"")</f>
      </c>
      <c r="E6" s="6"/>
      <c r="F6" s="6"/>
    </row>
    <row r="7" spans="1:6" x14ac:dyDescent="0.25">
      <c r="A7" s="6">
        <v>3</v>
      </c>
      <c r="B7" s="45">
        <f>IF('02_工况输入'!$C$74=0,"",'02_工况输入'!$C$74)</f>
      </c>
      <c r="C7" s="45">
        <f>IF(OR(B7="",'02_工况输入'!$C$71&lt;=0),"",B7*60/(1000*'02_工况输入'!$C$71))</f>
      </c>
      <c r="D7" s="45">
        <f>IF(ROW()-4&lt;=COUNT('02_工况输入'!$C$72:$C$87)/4,SMALL($C$5:$C$20,ROW()-4),"")</f>
      </c>
      <c r="E7" s="6"/>
      <c r="F7" s="6"/>
    </row>
    <row r="8" spans="1:6" x14ac:dyDescent="0.25">
      <c r="A8" s="6">
        <v>4</v>
      </c>
      <c r="B8" s="45">
        <f>IF('02_工况输入'!$C$75=0,"",'02_工况输入'!$C$75)</f>
      </c>
      <c r="C8" s="45">
        <f>IF(OR(B8="",'02_工况输入'!$C$71&lt;=0),"",B8*60/(1000*'02_工况输入'!$C$71))</f>
      </c>
      <c r="D8" s="45">
        <f>IF(ROW()-4&lt;=COUNT('02_工况输入'!$C$72:$C$87)/4,SMALL($C$5:$C$20,ROW()-4),"")</f>
      </c>
      <c r="E8" s="6"/>
      <c r="F8" s="6"/>
    </row>
    <row r="9" spans="1:6" x14ac:dyDescent="0.25">
      <c r="A9" s="6">
        <v>5</v>
      </c>
      <c r="B9" s="45">
        <f>IF('02_工况输入'!$C$76=0,"",'02_工况输入'!$C$76)</f>
      </c>
      <c r="C9" s="45">
        <f>IF(OR(B9="",'02_工况输入'!$C$71&lt;=0),"",B9*60/(1000*'02_工况输入'!$C$71))</f>
      </c>
      <c r="D9" s="45">
        <f>IF(ROW()-4&lt;=COUNT('02_工况输入'!$C$72:$C$87)/4,SMALL($C$5:$C$20,ROW()-4),"")</f>
      </c>
      <c r="E9" s="6"/>
      <c r="F9" s="6"/>
    </row>
    <row r="10" spans="1:6" x14ac:dyDescent="0.25">
      <c r="A10" s="6">
        <v>6</v>
      </c>
      <c r="B10" s="45">
        <f>IF('02_工况输入'!$C$77=0,"",'02_工况输入'!$C$77)</f>
      </c>
      <c r="C10" s="45">
        <f>IF(OR(B10="",'02_工况输入'!$C$71&lt;=0),"",B10*60/(1000*'02_工况输入'!$C$71))</f>
      </c>
      <c r="D10" s="45">
        <f>IF(ROW()-4&lt;=COUNT('02_工况输入'!$C$72:$C$87)/4,SMALL($C$5:$C$20,ROW()-4),"")</f>
      </c>
      <c r="E10" s="6"/>
      <c r="F10" s="6"/>
    </row>
    <row r="11" spans="1:6" x14ac:dyDescent="0.25">
      <c r="A11" s="6">
        <v>7</v>
      </c>
      <c r="B11" s="45">
        <f>IF('02_工况输入'!$C$78=0,"",'02_工况输入'!$C$78)</f>
      </c>
      <c r="C11" s="45">
        <f>IF(OR(B11="",'02_工况输入'!$C$71&lt;=0),"",B11*60/(1000*'02_工况输入'!$C$71))</f>
      </c>
      <c r="D11" s="45">
        <f>IF(ROW()-4&lt;=COUNT('02_工况输入'!$C$72:$C$87)/4,SMALL($C$5:$C$20,ROW()-4),"")</f>
      </c>
      <c r="E11" s="6"/>
      <c r="F11" s="6"/>
    </row>
    <row r="12" spans="1:6" x14ac:dyDescent="0.25">
      <c r="A12" s="6">
        <v>8</v>
      </c>
      <c r="B12" s="45">
        <f>IF('02_工况输入'!$C$79=0,"",'02_工况输入'!$C$79)</f>
      </c>
      <c r="C12" s="45">
        <f>IF(OR(B12="",'02_工况输入'!$C$71&lt;=0),"",B12*60/(1000*'02_工况输入'!$C$71))</f>
      </c>
      <c r="D12" s="45">
        <f>IF(ROW()-4&lt;=COUNT('02_工况输入'!$C$72:$C$87)/4,SMALL($C$5:$C$20,ROW()-4),"")</f>
      </c>
      <c r="E12" s="6"/>
      <c r="F12" s="6"/>
    </row>
    <row r="13" spans="1:6" x14ac:dyDescent="0.25">
      <c r="A13" s="6">
        <v>9</v>
      </c>
      <c r="B13" s="45">
        <f>IF('02_工况输入'!$C$80=0,"",'02_工况输入'!$C$80)</f>
      </c>
      <c r="C13" s="45">
        <f>IF(OR(B13="",'02_工况输入'!$C$71&lt;=0),"",B13*60/(1000*'02_工况输入'!$C$71))</f>
      </c>
      <c r="D13" s="45">
        <f>IF(ROW()-4&lt;=COUNT('02_工况输入'!$C$72:$C$87)/4,SMALL($C$5:$C$20,ROW()-4),"")</f>
      </c>
      <c r="E13" s="6"/>
      <c r="F13" s="6"/>
    </row>
    <row r="14" spans="1:6" x14ac:dyDescent="0.25">
      <c r="A14" s="6">
        <v>10</v>
      </c>
      <c r="B14" s="45">
        <f>IF('02_工况输入'!$C$81=0,"",'02_工况输入'!$C$81)</f>
      </c>
      <c r="C14" s="45">
        <f>IF(OR(B14="",'02_工况输入'!$C$71&lt;=0),"",B14*60/(1000*'02_工况输入'!$C$71))</f>
      </c>
      <c r="D14" s="45">
        <f>IF(ROW()-4&lt;=COUNT('02_工况输入'!$C$72:$C$87)/4,SMALL($C$5:$C$20,ROW()-4),"")</f>
      </c>
      <c r="E14" s="6"/>
      <c r="F14" s="6"/>
    </row>
    <row r="15" spans="1:6" x14ac:dyDescent="0.25">
      <c r="A15" s="6">
        <v>11</v>
      </c>
      <c r="B15" s="45">
        <f>IF('02_工况输入'!$C$82=0,"",'02_工况输入'!$C$82)</f>
      </c>
      <c r="C15" s="45">
        <f>IF(OR(B15="",'02_工况输入'!$C$71&lt;=0),"",B15*60/(1000*'02_工况输入'!$C$71))</f>
      </c>
      <c r="D15" s="45">
        <f>IF(ROW()-4&lt;=COUNT('02_工况输入'!$C$72:$C$87)/4,SMALL($C$5:$C$20,ROW()-4),"")</f>
      </c>
      <c r="E15" s="6"/>
      <c r="F15" s="6"/>
    </row>
    <row r="16" spans="1:6" x14ac:dyDescent="0.25">
      <c r="A16" s="6">
        <v>12</v>
      </c>
      <c r="B16" s="45">
        <f>IF('02_工况输入'!$C$83=0,"",'02_工况输入'!$C$83)</f>
      </c>
      <c r="C16" s="45">
        <f>IF(OR(B16="",'02_工况输入'!$C$71&lt;=0),"",B16*60/(1000*'02_工况输入'!$C$71))</f>
      </c>
      <c r="D16" s="45">
        <f>IF(ROW()-4&lt;=COUNT('02_工况输入'!$C$72:$C$87)/4,SMALL($C$5:$C$20,ROW()-4),"")</f>
      </c>
      <c r="E16" s="6"/>
      <c r="F16" s="6"/>
    </row>
    <row r="17" spans="1:6" x14ac:dyDescent="0.25">
      <c r="A17" s="6">
        <v>13</v>
      </c>
      <c r="B17" s="45">
        <f>IF('02_工况输入'!$C$84=0,"",'02_工况输入'!$C$84)</f>
      </c>
      <c r="C17" s="45">
        <f>IF(OR(B17="",'02_工况输入'!$C$71&lt;=0),"",B17*60/(1000*'02_工况输入'!$C$71))</f>
      </c>
      <c r="D17" s="45">
        <f>IF(ROW()-4&lt;=COUNT('02_工况输入'!$C$72:$C$87)/4,SMALL($C$5:$C$20,ROW()-4),"")</f>
      </c>
      <c r="E17" s="6"/>
      <c r="F17" s="6"/>
    </row>
    <row r="18" spans="1:6" x14ac:dyDescent="0.25">
      <c r="A18" s="6">
        <v>14</v>
      </c>
      <c r="B18" s="45">
        <f>IF('02_工况输入'!$C$85=0,"",'02_工况输入'!$C$85)</f>
      </c>
      <c r="C18" s="45">
        <f>IF(OR(B18="",'02_工况输入'!$C$71&lt;=0),"",B18*60/(1000*'02_工况输入'!$C$71))</f>
      </c>
      <c r="D18" s="45">
        <f>IF(ROW()-4&lt;=COUNT('02_工况输入'!$C$72:$C$87)/4,SMALL($C$5:$C$20,ROW()-4),"")</f>
      </c>
      <c r="E18" s="6"/>
      <c r="F18" s="6"/>
    </row>
    <row r="19" spans="1:6" x14ac:dyDescent="0.25">
      <c r="A19" s="6">
        <v>15</v>
      </c>
      <c r="B19" s="45">
        <f>IF('02_工况输入'!$C$86=0,"",'02_工况输入'!$C$86)</f>
      </c>
      <c r="C19" s="45">
        <f>IF(OR(B19="",'02_工况输入'!$C$71&lt;=0),"",B19*60/(1000*'02_工况输入'!$C$71))</f>
      </c>
      <c r="D19" s="45">
        <f>IF(ROW()-4&lt;=COUNT('02_工况输入'!$C$72:$C$87)/4,SMALL($C$5:$C$20,ROW()-4),"")</f>
      </c>
      <c r="E19" s="6"/>
      <c r="F19" s="6"/>
    </row>
    <row r="20" spans="1:6" x14ac:dyDescent="0.25">
      <c r="A20" s="6">
        <v>16</v>
      </c>
      <c r="B20" s="45">
        <f>IF('02_工况输入'!$C$87=0,"",'02_工况输入'!$C$87)</f>
      </c>
      <c r="C20" s="45">
        <f>IF(OR(B20="",'02_工况输入'!$C$71&lt;=0),"",B20*60/(1000*'02_工况输入'!$C$71))</f>
      </c>
      <c r="D20" s="45">
        <f>IF(ROW()-4&lt;=COUNT('02_工况输入'!$C$72:$C$87)/4,SMALL($C$5:$C$20,ROW()-4),"")</f>
      </c>
      <c r="E20" s="6"/>
      <c r="F20" s="6"/>
    </row>
    <row r="23" spans="1:6" x14ac:dyDescent="0.25">
      <c r="A23" s="7" t="s">
        <v>492</v>
      </c>
      <c r="B23" s="8"/>
      <c r="C23" s="8"/>
      <c r="D23" s="8"/>
      <c r="E23" s="8"/>
      <c r="F23" s="8"/>
    </row>
    <row r="24" spans="1:6" x14ac:dyDescent="0.25">
      <c r="A24" s="5" t="s">
        <v>424</v>
      </c>
      <c r="B24" s="46">
        <f>'03_管路水力'!B21</f>
        <v>0</v>
      </c>
      <c r="C24" s="5" t="s">
        <v>222</v>
      </c>
      <c r="D24" s="5"/>
      <c r="E24" s="5"/>
      <c r="F24" s="5" t="s">
        <v>493</v>
      </c>
    </row>
    <row r="25" spans="1:6" x14ac:dyDescent="0.25">
      <c r="A25" s="6" t="s">
        <v>251</v>
      </c>
      <c r="B25" s="43">
        <f>IF('02_工况输入'!$C$70=0,"",'02_工况输入'!$C$70)</f>
      </c>
      <c r="C25" s="6" t="s">
        <v>107</v>
      </c>
      <c r="D25" s="6"/>
      <c r="E25" s="6"/>
      <c r="F25" s="6" t="s">
        <v>494</v>
      </c>
    </row>
    <row r="26" spans="1:6" x14ac:dyDescent="0.25">
      <c r="A26" s="6" t="s">
        <v>495</v>
      </c>
      <c r="B26" s="43">
        <f>IF(OR(B24="",B25&lt;=0),"",B24/B25*60)</f>
      </c>
      <c r="C26" s="6" t="s">
        <v>219</v>
      </c>
      <c r="D26" s="6"/>
      <c r="E26" s="6"/>
      <c r="F26" s="6" t="s">
        <v>496</v>
      </c>
    </row>
    <row r="27" spans="1:6" x14ac:dyDescent="0.25">
      <c r="A27" s="6" t="s">
        <v>497</v>
      </c>
      <c r="B27" s="43">
        <f>IF(COUNT('02_工况输入'!$C$72:$C$87)&lt;4,"",AVERAGE(C5:C20))</f>
      </c>
      <c r="C27" s="6" t="s">
        <v>107</v>
      </c>
      <c r="D27" s="6"/>
      <c r="E27" s="6"/>
      <c r="F27" s="6"/>
    </row>
    <row r="28" spans="1:6" x14ac:dyDescent="0.25">
      <c r="A28" s="6" t="s">
        <v>498</v>
      </c>
      <c r="B28" s="43">
        <f>IF(OR(COUNT('02_工况输入'!$C$72:$C$87)&lt;4,MOD(COUNT('02_工况输入'!$C$72:$C$87),4)&lt;&gt;0),"",AVERAGE(D5:D20))</f>
      </c>
      <c r="C28" s="6" t="s">
        <v>107</v>
      </c>
      <c r="D28" s="6"/>
      <c r="E28" s="47">
        <f>IF(OR(B27="",B28=""),"",B28/B27)</f>
      </c>
      <c r="F28" s="6" t="s">
        <v>499</v>
      </c>
    </row>
  </sheetData>
  <sheetProtection sheet="1"/>
  <mergeCells count="3">
    <mergeCell ref="A1:F1"/>
    <mergeCell ref="A2:F2"/>
    <mergeCell ref="A23:F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2" width="24" customWidth="1"/>
    <col min="3" max="3" width="12" customWidth="1"/>
    <col min="4" max="4" width="17" customWidth="1"/>
    <col min="5" max="5" width="44" customWidth="1"/>
  </cols>
  <sheetData>
    <row r="1" ht="34" customHeight="1" spans="1:5" x14ac:dyDescent="0.25">
      <c r="A1" s="2" t="s">
        <v>500</v>
      </c>
      <c r="B1" s="2"/>
      <c r="C1" s="2"/>
      <c r="D1" s="2"/>
      <c r="E1" s="2"/>
    </row>
    <row r="2" ht="28" customHeight="1" spans="1:5" x14ac:dyDescent="0.25">
      <c r="A2" s="3" t="s">
        <v>501</v>
      </c>
      <c r="B2" s="3"/>
      <c r="C2" s="3"/>
      <c r="D2" s="3"/>
      <c r="E2" s="3"/>
    </row>
    <row r="4" ht="30" customHeight="1" spans="1:5" x14ac:dyDescent="0.25">
      <c r="A4" s="4" t="s">
        <v>502</v>
      </c>
      <c r="B4" s="4" t="s">
        <v>492</v>
      </c>
      <c r="C4" s="4" t="s">
        <v>14</v>
      </c>
      <c r="D4" s="4" t="s">
        <v>86</v>
      </c>
      <c r="E4" s="4" t="s">
        <v>503</v>
      </c>
    </row>
    <row r="5" spans="1:5" x14ac:dyDescent="0.25">
      <c r="A5" s="5" t="s">
        <v>504</v>
      </c>
      <c r="B5" s="41">
        <f>'03_管路水力'!B5</f>
        <v>20</v>
      </c>
      <c r="C5" s="46" t="s">
        <v>107</v>
      </c>
      <c r="D5" s="46" t="str">
        <f>IF(B5="","待确认",IF(OR(B5="不适用",B5="待厂家确认",B5="待确认"),B5,"已计算"))</f>
        <v>已计算</v>
      </c>
      <c r="E5" s="5" t="s">
        <v>505</v>
      </c>
    </row>
    <row r="6" spans="1:5" x14ac:dyDescent="0.25">
      <c r="A6" s="6" t="s">
        <v>506</v>
      </c>
      <c r="B6" s="42">
        <f>'03_管路水力'!B21</f>
        <v>0</v>
      </c>
      <c r="C6" s="43" t="s">
        <v>222</v>
      </c>
      <c r="D6" s="43" t="str">
        <f>IF(B6="","待确认",IF(OR(B6="不适用",B6="待厂家确认",B6="待确认"),B6,"已计算"))</f>
        <v>待确认</v>
      </c>
      <c r="E6" s="6" t="s">
        <v>507</v>
      </c>
    </row>
    <row r="7" spans="1:5" x14ac:dyDescent="0.25">
      <c r="A7" s="6" t="s">
        <v>508</v>
      </c>
      <c r="B7" s="42">
        <f>'04_A路压力预算'!B10</f>
      </c>
      <c r="C7" s="43" t="s">
        <v>151</v>
      </c>
      <c r="D7" s="43" t="str">
        <f>IF(B7="","待确认",IF(OR(B7="不适用",B7="待厂家确认",B7="待确认"),B7,"已计算"))</f>
        <v>待确认</v>
      </c>
      <c r="E7" s="6" t="s">
        <v>509</v>
      </c>
    </row>
    <row r="8" spans="1:5" x14ac:dyDescent="0.25">
      <c r="A8" s="6" t="s">
        <v>510</v>
      </c>
      <c r="B8" s="42">
        <f>'04_A路压力预算'!C10</f>
      </c>
      <c r="C8" s="43" t="s">
        <v>151</v>
      </c>
      <c r="D8" s="43" t="str">
        <f>IF(B8="","待确认",IF(OR(B8="不适用",B8="待厂家确认",B8="待确认"),B8,"已计算"))</f>
        <v>待确认</v>
      </c>
      <c r="E8" s="6" t="s">
        <v>511</v>
      </c>
    </row>
    <row r="9" spans="1:5" x14ac:dyDescent="0.25">
      <c r="A9" s="6" t="s">
        <v>512</v>
      </c>
      <c r="B9" s="42">
        <f>IF('05_B路与文丘里'!B18&lt;&gt;"已计算","",'05_B路与文丘里'!B7)</f>
      </c>
      <c r="C9" s="43" t="s">
        <v>151</v>
      </c>
      <c r="D9" s="43" t="str">
        <f>IF(B9="","待确认",IF(OR(B9="不适用",B9="待厂家确认",B9="待确认"),B9,"已计算"))</f>
        <v>待确认</v>
      </c>
      <c r="E9" s="6" t="s">
        <v>513</v>
      </c>
    </row>
    <row r="10" spans="1:5" x14ac:dyDescent="0.25">
      <c r="A10" s="6" t="s">
        <v>464</v>
      </c>
      <c r="B10" s="42" t="str">
        <f>'05_B路与文丘里'!B18</f>
        <v>待厂家确认</v>
      </c>
      <c r="C10" s="43"/>
      <c r="D10" s="43" t="str">
        <f>IF(B10="","待确认",IF(OR(B10="不适用",B10="待厂家确认",B10="待确认"),B10,"已计算"))</f>
        <v>待厂家确认</v>
      </c>
      <c r="E10" s="6" t="s">
        <v>514</v>
      </c>
    </row>
    <row r="11" spans="1:5" x14ac:dyDescent="0.25">
      <c r="A11" s="6" t="s">
        <v>483</v>
      </c>
      <c r="B11" s="42">
        <f>IF('06_肥液与桶'!B10="","",'06_肥液与桶'!B14)</f>
      </c>
      <c r="C11" s="43" t="s">
        <v>222</v>
      </c>
      <c r="D11" s="43" t="str">
        <f>IF(B11="","待确认",IF(OR(B11="不适用",B11="待厂家确认",B11="待确认"),B11,"已计算"))</f>
        <v>待确认</v>
      </c>
      <c r="E11" s="6" t="s">
        <v>515</v>
      </c>
    </row>
    <row r="12" spans="1:5" x14ac:dyDescent="0.25">
      <c r="A12" s="6" t="s">
        <v>495</v>
      </c>
      <c r="B12" s="42">
        <f>'07_冲洗与均匀度'!B26</f>
      </c>
      <c r="C12" s="43" t="s">
        <v>219</v>
      </c>
      <c r="D12" s="43" t="str">
        <f>IF(B12="","待确认",IF(OR(B12="不适用",B12="待厂家确认",B12="待确认"),B12,"已计算"))</f>
        <v>待确认</v>
      </c>
      <c r="E12" s="6" t="s">
        <v>516</v>
      </c>
    </row>
    <row r="13" spans="1:5" x14ac:dyDescent="0.25">
      <c r="A13" s="6" t="s">
        <v>517</v>
      </c>
      <c r="B13" s="48">
        <f>IF(COUNT('02_工况输入'!$C$72:$C$87)&lt;4,"",'07_冲洗与均匀度'!E28)</f>
      </c>
      <c r="C13" s="43" t="s">
        <v>499</v>
      </c>
      <c r="D13" s="43" t="str">
        <f>IF(B13="","待确认",IF(OR(B13="不适用",B13="待厂家确认",B13="待确认"),B13,"已计算"))</f>
        <v>待确认</v>
      </c>
      <c r="E13" s="6" t="s">
        <v>518</v>
      </c>
    </row>
    <row r="16" spans="1:5" x14ac:dyDescent="0.25">
      <c r="A16" s="49" t="s">
        <v>519</v>
      </c>
      <c r="B16" s="8"/>
      <c r="C16" s="8"/>
      <c r="D16" s="8"/>
      <c r="E16" s="8"/>
    </row>
    <row r="17" spans="1:5" x14ac:dyDescent="0.25">
      <c r="A17" s="5" t="s">
        <v>520</v>
      </c>
      <c r="B17" s="5" t="s">
        <v>521</v>
      </c>
      <c r="C17" s="5"/>
      <c r="D17" s="5"/>
      <c r="E17" s="5"/>
    </row>
    <row r="18" spans="1:5" x14ac:dyDescent="0.25">
      <c r="A18" s="6" t="s">
        <v>522</v>
      </c>
      <c r="B18" s="6" t="s">
        <v>523</v>
      </c>
      <c r="C18" s="6"/>
      <c r="D18" s="6"/>
      <c r="E18" s="6"/>
    </row>
  </sheetData>
  <sheetProtection sheet="1"/>
  <mergeCells count="5">
    <mergeCell ref="A1:E1"/>
    <mergeCell ref="A2:E2"/>
    <mergeCell ref="A16:E16"/>
    <mergeCell ref="B17:E17"/>
    <mergeCell ref="B18:E18"/>
  </mergeCells>
  <conditionalFormatting sqref="D5:D13">
    <cfRule type="containsText" dxfId="12" priority="1">
      <formula>NOT(ISERROR(SEARCH("undefined",D5)))</formula>
    </cfRule>
    <cfRule type="containsText" dxfId="13" priority="2">
      <formula>NOT(ISERROR(SEARCH("undefined",D5)))</formula>
    </cfRule>
    <cfRule type="containsText" dxfId="14" priority="3">
      <formula>NOT(ISERROR(SEARCH("undefined",D5)))</formula>
    </cfRule>
    <cfRule type="containsText" dxfId="15" priority="4">
      <formula>NOT(ISERROR(SEARCH("undefined",D5)))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0"/>
  <sheetData>
    <row r="1" spans="1:1" x14ac:dyDescent="0.25">
      <c r="A1" s="8" t="s">
        <v>524</v>
      </c>
    </row>
    <row r="2" spans="1:1" x14ac:dyDescent="0.25">
      <c r="A2" s="8" t="s">
        <v>525</v>
      </c>
    </row>
    <row r="3" spans="1:1" x14ac:dyDescent="0.25">
      <c r="A3" s="8" t="s">
        <v>9</v>
      </c>
    </row>
  </sheetData>
  <sheetProtection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 zoomScale="100" zoomScaleNormal="100"/>
  </sheetViews>
  <sheetFormatPr defaultRowHeight="15" outlineLevelRow="0" outlineLevelCol="0" x14ac:dyDescent="0"/>
  <cols>
    <col min="1" max="1" width="34" customWidth="1"/>
    <col min="2" max="2" width="24" customWidth="1"/>
    <col min="3" max="4" width="13" customWidth="1"/>
    <col min="5" max="5" width="18" customWidth="1"/>
    <col min="6" max="6" width="42" customWidth="1"/>
  </cols>
  <sheetData>
    <row r="1" ht="21.600000381469727" customHeight="1" spans="1:6" x14ac:dyDescent="0.25">
      <c r="A1" s="50" t="s">
        <v>526</v>
      </c>
      <c r="B1" s="50"/>
      <c r="C1" s="50"/>
      <c r="D1" s="50"/>
      <c r="E1" s="51"/>
      <c r="F1" s="51"/>
    </row>
    <row r="2" ht="26.399999618530273" customHeight="1" spans="1:6" x14ac:dyDescent="0.25">
      <c r="A2" s="37" t="s">
        <v>527</v>
      </c>
      <c r="B2" s="37"/>
      <c r="C2" s="37"/>
      <c r="D2" s="37"/>
      <c r="E2" s="52"/>
      <c r="F2" s="52"/>
    </row>
    <row r="3" ht="15" customHeight="1" spans="1:6" x14ac:dyDescent="0.25">
      <c r="A3" s="53"/>
      <c r="B3" s="53"/>
      <c r="C3" s="53"/>
      <c r="D3" s="53"/>
      <c r="E3" s="53"/>
      <c r="F3" s="53"/>
    </row>
    <row r="4" ht="26.399999618530273" customHeight="1" spans="1:6" x14ac:dyDescent="0.25">
      <c r="A4" s="54" t="s">
        <v>2</v>
      </c>
      <c r="B4" s="54" t="s">
        <v>492</v>
      </c>
      <c r="C4" s="54" t="s">
        <v>14</v>
      </c>
      <c r="D4" s="54" t="s">
        <v>86</v>
      </c>
      <c r="E4" s="55" t="s">
        <v>528</v>
      </c>
      <c r="F4" s="55" t="s">
        <v>503</v>
      </c>
    </row>
    <row r="5" ht="39.599998474121094" customHeight="1" spans="1:6" x14ac:dyDescent="0.25">
      <c r="A5" s="39" t="s">
        <v>529</v>
      </c>
      <c r="B5" s="39" t="s">
        <v>530</v>
      </c>
      <c r="C5" s="39"/>
      <c r="D5" s="39" t="s">
        <v>531</v>
      </c>
      <c r="E5" s="56" t="s">
        <v>532</v>
      </c>
      <c r="F5" s="56" t="s">
        <v>533</v>
      </c>
    </row>
    <row r="6" ht="39.599998474121094" customHeight="1" spans="1:6" x14ac:dyDescent="0.25">
      <c r="A6" s="39" t="s">
        <v>534</v>
      </c>
      <c r="B6" s="39" t="s">
        <v>535</v>
      </c>
      <c r="C6" s="39"/>
      <c r="D6" s="39" t="s">
        <v>536</v>
      </c>
      <c r="E6" s="57" t="s">
        <v>537</v>
      </c>
      <c r="F6" s="57" t="s">
        <v>538</v>
      </c>
    </row>
    <row r="7" ht="26.399999618530273" customHeight="1" spans="1:6" x14ac:dyDescent="0.25">
      <c r="A7" s="39" t="s">
        <v>539</v>
      </c>
      <c r="B7" s="40">
        <f>'02_工况输入'!C10*'02_工况输入'!C11</f>
        <v>20</v>
      </c>
      <c r="C7" s="39"/>
      <c r="D7" s="39" t="s">
        <v>540</v>
      </c>
      <c r="E7" s="57" t="s">
        <v>470</v>
      </c>
      <c r="F7" s="57" t="s">
        <v>541</v>
      </c>
    </row>
    <row r="8" ht="39.599998474121094" customHeight="1" spans="1:6" x14ac:dyDescent="0.25">
      <c r="A8" s="39" t="s">
        <v>542</v>
      </c>
      <c r="B8" s="40">
        <f>IF(OR('02_工况输入'!C90="",'02_工况输入'!C91=""),"",'02_工况输入'!C90*'02_工况输入'!C91)</f>
      </c>
      <c r="C8" s="39"/>
      <c r="D8" s="39" t="s">
        <v>543</v>
      </c>
      <c r="E8" s="57" t="s">
        <v>544</v>
      </c>
      <c r="F8" s="57" t="s">
        <v>545</v>
      </c>
    </row>
    <row r="9" ht="26.399999618530273" customHeight="1" spans="1:6" x14ac:dyDescent="0.25">
      <c r="A9" s="39" t="s">
        <v>546</v>
      </c>
      <c r="B9" s="40">
        <f>'07_冲洗与均匀度'!B13</f>
      </c>
      <c r="C9" s="39"/>
      <c r="D9" s="39" t="s">
        <v>151</v>
      </c>
      <c r="E9" s="57" t="s">
        <v>547</v>
      </c>
      <c r="F9" s="57" t="s">
        <v>548</v>
      </c>
    </row>
    <row r="10" ht="15" customHeight="1" spans="1:6" x14ac:dyDescent="0.25">
      <c r="A10" s="39" t="s">
        <v>549</v>
      </c>
      <c r="B10" s="40">
        <f>IF(OR('02_工况输入'!C31="",B9="",'02_工况输入'!C97="",'02_工况输入'!C98="",'02_工况输入'!C105=""),"",'02_工况输入'!C31-B9-'02_工况输入'!C97-'02_工况输入'!C98-'02_工况输入'!C105-0.00980665*'02_工况输入'!C96)</f>
      </c>
      <c r="C10" s="39"/>
      <c r="D10" s="39" t="s">
        <v>151</v>
      </c>
      <c r="E10" s="57" t="s">
        <v>550</v>
      </c>
      <c r="F10" s="57" t="s">
        <v>551</v>
      </c>
    </row>
    <row r="11" ht="26.399999618530273" customHeight="1" spans="1:6" x14ac:dyDescent="0.25">
      <c r="A11" s="39" t="s">
        <v>552</v>
      </c>
      <c r="B11" s="40" t="str">
        <f>IF(B10="","待确认",IF(OR('02_工况输入'!C99="",'02_工况输入'!C100=""),"待确认",IF(AND(B10&gt;='02_工况输入'!C99,B10&lt;='02_工况输入'!C100),"已计算","不适用")))</f>
        <v>待确认</v>
      </c>
      <c r="C11" s="39"/>
      <c r="D11" s="39" t="s">
        <v>553</v>
      </c>
      <c r="E11" s="57" t="s">
        <v>554</v>
      </c>
      <c r="F11" s="57"/>
    </row>
    <row r="12" ht="39.599998474121094" customHeight="1" spans="1:6" x14ac:dyDescent="0.25">
      <c r="A12" s="39" t="s">
        <v>555</v>
      </c>
      <c r="B12" s="40">
        <f>'07_冲洗与均匀度'!B20</f>
        <v>0</v>
      </c>
      <c r="C12" s="39"/>
      <c r="D12" s="39" t="s">
        <v>222</v>
      </c>
      <c r="E12" s="57" t="s">
        <v>556</v>
      </c>
      <c r="F12" s="57"/>
    </row>
    <row r="13" ht="39.599998474121094" customHeight="1" spans="1:6" x14ac:dyDescent="0.25">
      <c r="A13" s="39" t="s">
        <v>557</v>
      </c>
      <c r="B13" s="40">
        <f>'07_冲洗与均匀度'!B21</f>
        <v>0</v>
      </c>
      <c r="C13" s="39"/>
      <c r="D13" s="39" t="s">
        <v>219</v>
      </c>
      <c r="E13" s="57" t="s">
        <v>558</v>
      </c>
      <c r="F13" s="57"/>
    </row>
    <row r="14" ht="26.399999618530273" customHeight="1" spans="1:6" x14ac:dyDescent="0.25">
      <c r="A14" s="39"/>
      <c r="B14" s="40"/>
      <c r="C14" s="39"/>
      <c r="D14" s="39"/>
      <c r="E14" s="57" t="s">
        <v>559</v>
      </c>
      <c r="F14" s="57"/>
    </row>
    <row r="15" ht="26.399999618530273" customHeight="1" spans="1:6" x14ac:dyDescent="0.25">
      <c r="A15" s="39" t="s">
        <v>560</v>
      </c>
      <c r="B15" s="40">
        <f>IF(OR(B8="",'02_工况输入'!C108="",'02_工况输入'!C109="",'02_工况输入'!C110=""),"",B8*('02_工况输入'!C110-'02_工况输入'!C108)/('02_工况输入'!C109-'02_工况输入'!C110))</f>
      </c>
      <c r="C15" s="39"/>
      <c r="D15" s="39" t="s">
        <v>107</v>
      </c>
      <c r="E15" s="57" t="s">
        <v>561</v>
      </c>
      <c r="F15" s="57"/>
    </row>
    <row r="16" ht="26.399999618530273" customHeight="1" spans="1:6" x14ac:dyDescent="0.25">
      <c r="A16" s="39" t="s">
        <v>562</v>
      </c>
      <c r="B16" s="40">
        <f>IF(OR(B15="",'02_工况输入'!C111=""),"",B15*'02_工况输入'!C111/60+'02_工况输入'!C112)</f>
      </c>
      <c r="C16" s="39"/>
      <c r="D16" s="39" t="s">
        <v>222</v>
      </c>
      <c r="E16" s="57" t="s">
        <v>563</v>
      </c>
      <c r="F16" s="57"/>
    </row>
    <row r="17" ht="26.399999618530273" customHeight="1" spans="1:6" x14ac:dyDescent="0.25">
      <c r="A17" s="39" t="s">
        <v>564</v>
      </c>
      <c r="B17" s="40">
        <f>'02_工况输入'!C116</f>
        <v>0</v>
      </c>
      <c r="C17" s="39"/>
      <c r="D17" s="39" t="s">
        <v>565</v>
      </c>
      <c r="E17" s="57" t="s">
        <v>566</v>
      </c>
      <c r="F17" s="57" t="s">
        <v>567</v>
      </c>
    </row>
    <row r="18" ht="26.399999618530273" customHeight="1" spans="1:6" x14ac:dyDescent="0.25">
      <c r="A18" s="39" t="s">
        <v>568</v>
      </c>
      <c r="B18" s="40">
        <f>'02_工况输入'!C113</f>
        <v>0</v>
      </c>
      <c r="C18" s="39"/>
      <c r="D18" s="39" t="s">
        <v>107</v>
      </c>
      <c r="E18" s="57" t="s">
        <v>569</v>
      </c>
      <c r="F18" s="57"/>
    </row>
    <row r="19" ht="39.599998474121094" customHeight="1" spans="1:6" x14ac:dyDescent="0.25">
      <c r="A19" s="39" t="s">
        <v>570</v>
      </c>
      <c r="B19" s="40">
        <f>'02_工况输入'!C128</f>
        <v>0</v>
      </c>
      <c r="C19" s="39"/>
      <c r="D19" s="39" t="s">
        <v>571</v>
      </c>
      <c r="E19" s="57" t="s">
        <v>572</v>
      </c>
      <c r="F19" s="57" t="s">
        <v>573</v>
      </c>
    </row>
    <row r="20" ht="39.599998474121094" customHeight="1" spans="1:6" x14ac:dyDescent="0.25">
      <c r="A20" s="39" t="s">
        <v>574</v>
      </c>
      <c r="B20" s="40">
        <f>IF(OR('02_工况输入'!C106="",'02_工况输入'!C107=""),"",'02_工况输入'!C106-'02_工况输入'!C107)</f>
      </c>
      <c r="C20" s="39"/>
      <c r="D20" s="39" t="s">
        <v>450</v>
      </c>
      <c r="E20" s="57" t="s">
        <v>575</v>
      </c>
      <c r="F20" s="57"/>
    </row>
    <row r="21" ht="26.399999618530273" customHeight="1" spans="1:6" x14ac:dyDescent="0.25">
      <c r="A21" s="39" t="s">
        <v>576</v>
      </c>
      <c r="B21" s="40" t="str">
        <f>IF(B17&lt;&gt;TRUE,"待厂家确认",IF(OR(B15="",B18="",B19="",'02_工况输入'!C118="",'02_工况输入'!C119="",'02_工况输入'!C120="",'02_工况输入'!C121=""),"待确认",IF(OR(B20&lt;=0,B19&lt;'02_工况输入'!C63,B19&gt;'02_工况输入'!C64,B15&gt;'02_工况输入'!C121),"不适用","已计算")))</f>
        <v>待厂家确认</v>
      </c>
      <c r="C21" s="39"/>
      <c r="D21" s="39" t="s">
        <v>465</v>
      </c>
      <c r="E21" s="57" t="s">
        <v>577</v>
      </c>
      <c r="F21" s="57"/>
    </row>
    <row r="22" ht="39.599998474121094" customHeight="1" spans="1:6" x14ac:dyDescent="0.25">
      <c r="A22" s="39"/>
      <c r="B22" s="40"/>
      <c r="C22" s="39"/>
      <c r="D22" s="39"/>
      <c r="E22" s="57" t="s">
        <v>578</v>
      </c>
      <c r="F22" s="57" t="s">
        <v>579</v>
      </c>
    </row>
    <row r="23" ht="39.599998474121094" customHeight="1" spans="1:6" x14ac:dyDescent="0.25">
      <c r="A23" s="39" t="s">
        <v>580</v>
      </c>
      <c r="B23" s="39" t="s">
        <v>581</v>
      </c>
      <c r="C23" s="39"/>
      <c r="D23" s="39" t="s">
        <v>582</v>
      </c>
      <c r="E23" s="57" t="s">
        <v>583</v>
      </c>
      <c r="F23" s="57" t="s">
        <v>353</v>
      </c>
    </row>
    <row r="24" ht="39.599998474121094" customHeight="1" spans="1:6" x14ac:dyDescent="0.25">
      <c r="A24" s="39" t="s">
        <v>584</v>
      </c>
      <c r="B24" s="39" t="s">
        <v>585</v>
      </c>
      <c r="C24" s="39"/>
      <c r="D24" s="39" t="s">
        <v>586</v>
      </c>
      <c r="E24" s="57" t="s">
        <v>587</v>
      </c>
      <c r="F24" s="57" t="s">
        <v>588</v>
      </c>
    </row>
  </sheetData>
  <sheetProtection sheet="1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00_使用说明</vt:lpstr>
      <vt:lpstr>01_当前设计基准</vt:lpstr>
      <vt:lpstr>02_工况输入</vt:lpstr>
      <vt:lpstr>03_管路水力</vt:lpstr>
      <vt:lpstr>04_A路压力预算</vt:lpstr>
      <vt:lpstr>05_B路与文丘里</vt:lpstr>
      <vt:lpstr>06_肥液与桶</vt:lpstr>
      <vt:lpstr>07_冲洗与均匀度</vt:lpstr>
      <vt:lpstr>08_结果摘要</vt:lpstr>
      <vt:lpstr>_meta</vt:lpstr>
      <vt:lpstr>09_喷灌与模式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Unknown</cp:lastModifiedBy>
  <dcterms:created xsi:type="dcterms:W3CDTF">2026-07-24T17:29:22Z</dcterms:created>
  <dcterms:modified xsi:type="dcterms:W3CDTF">2026-07-24T16:00:00Z</dcterms:modified>
</cp:coreProperties>
</file>